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edwardka\Downloads\"/>
    </mc:Choice>
  </mc:AlternateContent>
  <xr:revisionPtr revIDLastSave="0" documentId="13_ncr:1_{CFE98126-50D6-42E2-9A51-731328370F37}" xr6:coauthVersionLast="47" xr6:coauthVersionMax="47" xr10:uidLastSave="{00000000-0000-0000-0000-000000000000}"/>
  <workbookProtection workbookPassword="F903" lockStructure="1"/>
  <bookViews>
    <workbookView xWindow="-120" yWindow="-120" windowWidth="29040" windowHeight="15720" firstSheet="1" activeTab="1" xr2:uid="{00000000-000D-0000-FFFF-FFFF00000000}"/>
  </bookViews>
  <sheets>
    <sheet name="Notes_Old" sheetId="1" state="hidden" r:id="rId1"/>
    <sheet name="Errors Summary Sheet" sheetId="8" r:id="rId2"/>
    <sheet name="Cover Sheet" sheetId="9" r:id="rId3"/>
    <sheet name="Profit &amp; Loss Statement" sheetId="2" r:id="rId4"/>
    <sheet name="Balance Sheet" sheetId="3" r:id="rId5"/>
    <sheet name="Portfolio Report" sheetId="4" r:id="rId6"/>
    <sheet name="Outreach &amp; Social Performance" sheetId="5" r:id="rId7"/>
    <sheet name="Regional Breakdown " sheetId="6" r:id="rId8"/>
    <sheet name="Ratios" sheetId="7" r:id="rId9"/>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 i="9" l="1"/>
  <c r="K3" i="9"/>
  <c r="E15" i="6" l="1"/>
  <c r="E16" i="3" l="1"/>
  <c r="E38" i="7" l="1"/>
  <c r="E30" i="7"/>
  <c r="E24" i="7"/>
  <c r="E23" i="7"/>
  <c r="E19" i="7"/>
  <c r="E17" i="7"/>
  <c r="E16" i="7"/>
  <c r="E7" i="7"/>
  <c r="G36" i="6"/>
  <c r="G34" i="6"/>
  <c r="G32" i="6"/>
  <c r="G30" i="6"/>
  <c r="E60" i="6"/>
  <c r="E59" i="6"/>
  <c r="D62" i="6"/>
  <c r="D63" i="6"/>
  <c r="D64" i="6"/>
  <c r="D65" i="6"/>
  <c r="D66" i="6"/>
  <c r="D67" i="6"/>
  <c r="D68" i="6"/>
  <c r="D61" i="6"/>
  <c r="D56" i="6"/>
  <c r="D57" i="6"/>
  <c r="D58" i="6"/>
  <c r="D55" i="6"/>
  <c r="F52" i="6" l="1"/>
  <c r="E40" i="6"/>
  <c r="E41" i="6"/>
  <c r="E42" i="6"/>
  <c r="E43" i="6"/>
  <c r="E44" i="6"/>
  <c r="E45" i="6"/>
  <c r="E46" i="6"/>
  <c r="E47" i="6"/>
  <c r="E48" i="6"/>
  <c r="E49" i="6"/>
  <c r="E50" i="6"/>
  <c r="E51" i="6"/>
  <c r="D40" i="6"/>
  <c r="D41" i="6"/>
  <c r="D42" i="6"/>
  <c r="D43" i="6"/>
  <c r="D44" i="6"/>
  <c r="D45" i="6"/>
  <c r="D46" i="6"/>
  <c r="D47" i="6"/>
  <c r="D48" i="6"/>
  <c r="D49" i="6"/>
  <c r="D50" i="6"/>
  <c r="D51" i="6"/>
  <c r="E39" i="6"/>
  <c r="D39" i="6"/>
  <c r="G28" i="6"/>
  <c r="F28" i="6"/>
  <c r="E19" i="6"/>
  <c r="E20" i="6"/>
  <c r="E21" i="6"/>
  <c r="E22" i="6"/>
  <c r="E23" i="6"/>
  <c r="E24" i="6"/>
  <c r="E25" i="6"/>
  <c r="E26" i="6"/>
  <c r="E27" i="6"/>
  <c r="D19" i="6"/>
  <c r="D20" i="6"/>
  <c r="D21" i="6"/>
  <c r="D22" i="6"/>
  <c r="D23" i="6"/>
  <c r="D24" i="6"/>
  <c r="D25" i="6"/>
  <c r="D26" i="6"/>
  <c r="D27" i="6"/>
  <c r="E18" i="6"/>
  <c r="D18" i="6"/>
  <c r="E16" i="6"/>
  <c r="D15" i="6"/>
  <c r="D16" i="6"/>
  <c r="E14" i="6"/>
  <c r="D14" i="6"/>
  <c r="K11" i="8" l="1"/>
  <c r="D28" i="6"/>
  <c r="K12" i="8"/>
  <c r="F57" i="6"/>
  <c r="D52" i="6"/>
  <c r="D60" i="6"/>
  <c r="D59" i="6"/>
  <c r="E32" i="6"/>
  <c r="E30" i="6"/>
  <c r="E34" i="6"/>
  <c r="K13" i="8" l="1"/>
  <c r="H15" i="6"/>
  <c r="C10" i="5"/>
  <c r="D10" i="5" s="1"/>
  <c r="C10" i="4"/>
  <c r="D10" i="4" s="1"/>
  <c r="I12" i="8" s="1"/>
  <c r="C10" i="3"/>
  <c r="D10" i="3" s="1"/>
  <c r="H15" i="8" s="1"/>
  <c r="C10" i="2"/>
  <c r="D10" i="2" s="1"/>
  <c r="D10" i="9"/>
  <c r="C9" i="2"/>
  <c r="C9" i="6" s="1"/>
  <c r="D9" i="6" s="1"/>
  <c r="K9" i="8" s="1"/>
  <c r="D9" i="2" l="1"/>
  <c r="G9" i="8" s="1"/>
  <c r="G10" i="8"/>
  <c r="J10" i="8"/>
  <c r="F10" i="8"/>
  <c r="C10" i="6"/>
  <c r="F12" i="6" l="1"/>
  <c r="E54" i="6"/>
  <c r="D10" i="6"/>
  <c r="K10" i="8" s="1"/>
  <c r="C12" i="9" l="1"/>
  <c r="H14" i="8" l="1"/>
  <c r="H13" i="8"/>
  <c r="H11" i="8"/>
  <c r="H12" i="8"/>
  <c r="E13" i="3"/>
  <c r="K2" i="9" l="1"/>
  <c r="C11" i="9" l="1"/>
  <c r="C14" i="9" s="1"/>
  <c r="C6" i="2" l="1"/>
  <c r="C6" i="6" s="1"/>
  <c r="C5" i="2"/>
  <c r="C4" i="2"/>
  <c r="D7" i="9"/>
  <c r="F7" i="8" s="1"/>
  <c r="D6" i="9"/>
  <c r="F6" i="8" s="1"/>
  <c r="D5" i="9"/>
  <c r="F5" i="8" s="1"/>
  <c r="D4" i="9"/>
  <c r="F4" i="8" s="1"/>
  <c r="C13" i="9"/>
  <c r="C9" i="9" s="1"/>
  <c r="D9" i="9" s="1"/>
  <c r="C7" i="2"/>
  <c r="D8" i="9"/>
  <c r="F8" i="8" s="1"/>
  <c r="F9" i="8" l="1"/>
  <c r="C3" i="8" s="1"/>
  <c r="E1" i="9"/>
  <c r="C8" i="2"/>
  <c r="D53" i="3"/>
  <c r="B17" i="1" l="1"/>
  <c r="C9" i="8"/>
  <c r="D4" i="2"/>
  <c r="G4" i="8" s="1"/>
  <c r="B9" i="8"/>
  <c r="A2" i="6"/>
  <c r="A2" i="5"/>
  <c r="A2" i="4"/>
  <c r="A2" i="3"/>
  <c r="A1" i="6"/>
  <c r="A1" i="5"/>
  <c r="A1" i="4"/>
  <c r="A1" i="3"/>
  <c r="C8" i="6" l="1"/>
  <c r="C7" i="6"/>
  <c r="C5" i="6"/>
  <c r="C4" i="6"/>
  <c r="C8" i="5"/>
  <c r="C7" i="5"/>
  <c r="C6" i="5"/>
  <c r="C5" i="5"/>
  <c r="C4" i="5"/>
  <c r="C8" i="4"/>
  <c r="C7" i="4"/>
  <c r="C6" i="4"/>
  <c r="C5" i="4"/>
  <c r="C4" i="4"/>
  <c r="C8" i="3"/>
  <c r="C7" i="3"/>
  <c r="D7" i="3" s="1"/>
  <c r="C6" i="3"/>
  <c r="D6" i="3" s="1"/>
  <c r="H6" i="8" s="1"/>
  <c r="C5" i="3"/>
  <c r="D5" i="3" s="1"/>
  <c r="H5" i="8" s="1"/>
  <c r="C4" i="3"/>
  <c r="D4" i="3" s="1"/>
  <c r="H4" i="8" s="1"/>
  <c r="H7" i="8" l="1"/>
  <c r="B14" i="1"/>
  <c r="C9" i="4"/>
  <c r="D9" i="4" s="1"/>
  <c r="I9" i="8" s="1"/>
  <c r="C9" i="5"/>
  <c r="D9" i="5" s="1"/>
  <c r="J9" i="8" s="1"/>
  <c r="D8" i="2"/>
  <c r="D7" i="2"/>
  <c r="D6" i="2"/>
  <c r="D5" i="2"/>
  <c r="E1" i="2" l="1"/>
  <c r="B4" i="8" s="1"/>
  <c r="G8" i="8"/>
  <c r="G6" i="8"/>
  <c r="G5" i="8"/>
  <c r="G7" i="8"/>
  <c r="F1" i="2"/>
  <c r="C4" i="8" l="1"/>
  <c r="E68" i="7"/>
  <c r="E67" i="7"/>
  <c r="E66" i="7"/>
  <c r="E65" i="7"/>
  <c r="E64" i="7"/>
  <c r="E63" i="7"/>
  <c r="E62" i="7"/>
  <c r="E61" i="7"/>
  <c r="E60" i="7"/>
  <c r="E58" i="7"/>
  <c r="E57" i="7"/>
  <c r="E56" i="7"/>
  <c r="E51" i="7"/>
  <c r="E50" i="7"/>
  <c r="E49" i="7"/>
  <c r="E48" i="7"/>
  <c r="E32" i="7"/>
  <c r="D8" i="6"/>
  <c r="D7" i="6"/>
  <c r="K7" i="8" s="1"/>
  <c r="D6" i="6"/>
  <c r="K6" i="8" s="1"/>
  <c r="D5" i="6"/>
  <c r="K5" i="8" s="1"/>
  <c r="D4" i="6"/>
  <c r="D20" i="5"/>
  <c r="D8" i="5"/>
  <c r="D7" i="5"/>
  <c r="J7" i="8" s="1"/>
  <c r="D6" i="5"/>
  <c r="J6" i="8" s="1"/>
  <c r="D5" i="5"/>
  <c r="J5" i="8" s="1"/>
  <c r="D4" i="5"/>
  <c r="J4" i="8" s="1"/>
  <c r="E13" i="4"/>
  <c r="D4" i="4"/>
  <c r="I4" i="8" s="1"/>
  <c r="D8" i="4"/>
  <c r="D7" i="4"/>
  <c r="D6" i="4"/>
  <c r="I6" i="8" s="1"/>
  <c r="D5" i="4"/>
  <c r="I5" i="8" s="1"/>
  <c r="C9" i="3"/>
  <c r="D9" i="3" s="1"/>
  <c r="H9" i="8" s="1"/>
  <c r="D8" i="3"/>
  <c r="K4" i="8" l="1"/>
  <c r="J8" i="8"/>
  <c r="C7" i="8" s="1"/>
  <c r="E1" i="5"/>
  <c r="B7" i="8" s="1"/>
  <c r="K8" i="8"/>
  <c r="I8" i="8"/>
  <c r="H8" i="8"/>
  <c r="I7" i="8"/>
  <c r="F1" i="5"/>
  <c r="D26" i="2"/>
  <c r="E9" i="7" s="1"/>
  <c r="D25" i="2"/>
  <c r="D45" i="5"/>
  <c r="D44" i="5"/>
  <c r="D26" i="5"/>
  <c r="D43" i="5"/>
  <c r="E45" i="7" s="1"/>
  <c r="D42" i="5"/>
  <c r="E46" i="7" s="1"/>
  <c r="D25" i="5"/>
  <c r="D24" i="5"/>
  <c r="D23" i="5"/>
  <c r="D19" i="5"/>
  <c r="D18" i="5"/>
  <c r="D17" i="5"/>
  <c r="E53" i="7" s="1"/>
  <c r="D16" i="5"/>
  <c r="G52" i="6"/>
  <c r="E50" i="4"/>
  <c r="D50" i="4"/>
  <c r="E49" i="4"/>
  <c r="D49" i="4"/>
  <c r="E48" i="4"/>
  <c r="D48" i="4"/>
  <c r="E47" i="4"/>
  <c r="D47" i="4"/>
  <c r="E46" i="4"/>
  <c r="D46" i="4"/>
  <c r="E45" i="4"/>
  <c r="D45" i="4"/>
  <c r="E44" i="4"/>
  <c r="D44" i="4"/>
  <c r="E43" i="4"/>
  <c r="D43" i="4"/>
  <c r="E42" i="4"/>
  <c r="D42" i="4"/>
  <c r="E41" i="4"/>
  <c r="D41" i="4"/>
  <c r="E40" i="4"/>
  <c r="D40" i="4"/>
  <c r="E39" i="4"/>
  <c r="D39" i="4"/>
  <c r="G35" i="6"/>
  <c r="F35" i="6"/>
  <c r="G33" i="6"/>
  <c r="F33" i="6"/>
  <c r="G31" i="6"/>
  <c r="F31" i="6"/>
  <c r="G29" i="6"/>
  <c r="F29" i="6"/>
  <c r="E26" i="4"/>
  <c r="G26" i="4" s="1"/>
  <c r="D26" i="4"/>
  <c r="E25" i="4"/>
  <c r="G25" i="4" s="1"/>
  <c r="D25" i="4"/>
  <c r="E24" i="4"/>
  <c r="G24" i="4" s="1"/>
  <c r="D24" i="4"/>
  <c r="E23" i="4"/>
  <c r="G23" i="4" s="1"/>
  <c r="D23" i="4"/>
  <c r="E22" i="4"/>
  <c r="G22" i="4" s="1"/>
  <c r="D22" i="4"/>
  <c r="E21" i="4"/>
  <c r="G21" i="4" s="1"/>
  <c r="D21" i="4"/>
  <c r="E20" i="4"/>
  <c r="G20" i="4" s="1"/>
  <c r="D20" i="4"/>
  <c r="D18" i="4"/>
  <c r="D17" i="4"/>
  <c r="E14" i="4"/>
  <c r="D14" i="4"/>
  <c r="D13" i="4"/>
  <c r="D12" i="4"/>
  <c r="H27" i="4"/>
  <c r="D29" i="3"/>
  <c r="D33" i="3" s="1"/>
  <c r="D23" i="3"/>
  <c r="D33" i="2"/>
  <c r="D18" i="2"/>
  <c r="C8" i="8" l="1"/>
  <c r="D17" i="3"/>
  <c r="E42" i="7"/>
  <c r="E29" i="7"/>
  <c r="E28" i="7"/>
  <c r="E37" i="7"/>
  <c r="E35" i="7"/>
  <c r="E26" i="7"/>
  <c r="E22" i="7"/>
  <c r="E10" i="7"/>
  <c r="E18" i="7"/>
  <c r="E25" i="7"/>
  <c r="E6" i="7"/>
  <c r="E43" i="7"/>
  <c r="D22" i="5"/>
  <c r="E41" i="7"/>
  <c r="E52" i="6"/>
  <c r="E38" i="4"/>
  <c r="E44" i="7" s="1"/>
  <c r="D38" i="4"/>
  <c r="D51" i="4" s="1"/>
  <c r="E55" i="7"/>
  <c r="E12" i="4"/>
  <c r="D21" i="5" s="1"/>
  <c r="E40" i="7"/>
  <c r="E52" i="7"/>
  <c r="E35" i="6"/>
  <c r="E36" i="6"/>
  <c r="E19" i="4"/>
  <c r="E54" i="7"/>
  <c r="E29" i="6"/>
  <c r="E18" i="4"/>
  <c r="G18" i="4" s="1"/>
  <c r="E28" i="6"/>
  <c r="E17" i="4"/>
  <c r="G17" i="4" s="1"/>
  <c r="D31" i="6"/>
  <c r="D19" i="4"/>
  <c r="D34" i="4" s="1"/>
  <c r="D29" i="6"/>
  <c r="D34" i="2"/>
  <c r="D37" i="2" s="1"/>
  <c r="E31" i="6"/>
  <c r="D33" i="6"/>
  <c r="E33" i="6"/>
  <c r="D35" i="6"/>
  <c r="E30" i="4" l="1"/>
  <c r="E31" i="4" s="1"/>
  <c r="G19" i="4"/>
  <c r="G27" i="4" s="1"/>
  <c r="H28" i="6"/>
  <c r="E1" i="6"/>
  <c r="B8" i="8" s="1"/>
  <c r="D18" i="3"/>
  <c r="D24" i="3" s="1"/>
  <c r="H16" i="8"/>
  <c r="E17" i="3"/>
  <c r="D39" i="2"/>
  <c r="D40" i="3" s="1"/>
  <c r="D42" i="3" s="1"/>
  <c r="E51" i="4"/>
  <c r="E28" i="4"/>
  <c r="E29" i="4" s="1"/>
  <c r="E34" i="4"/>
  <c r="E27" i="4"/>
  <c r="F1" i="4" s="1"/>
  <c r="E32" i="4"/>
  <c r="E33" i="4" s="1"/>
  <c r="D30" i="4"/>
  <c r="D28" i="4"/>
  <c r="D27" i="4"/>
  <c r="D32" i="4"/>
  <c r="I13" i="8" l="1"/>
  <c r="I27" i="4"/>
  <c r="E12" i="7"/>
  <c r="E14" i="7"/>
  <c r="F51" i="4"/>
  <c r="I11" i="8"/>
  <c r="D43" i="3"/>
  <c r="E1" i="3" s="1"/>
  <c r="E15" i="7"/>
  <c r="E13" i="7"/>
  <c r="E20" i="7"/>
  <c r="E34" i="7"/>
  <c r="E35" i="4"/>
  <c r="E33" i="7" s="1"/>
  <c r="E36" i="7"/>
  <c r="E1" i="4"/>
  <c r="B6" i="8" s="1"/>
  <c r="F27" i="4"/>
  <c r="E8" i="7"/>
  <c r="E4" i="7"/>
  <c r="E5" i="7"/>
  <c r="I10" i="8"/>
  <c r="H10" i="8" l="1"/>
  <c r="C5" i="8" s="1"/>
  <c r="E43" i="3"/>
  <c r="B5" i="8"/>
  <c r="F1" i="3"/>
  <c r="C6" i="8"/>
  <c r="B3" i="8"/>
  <c r="F1" i="9"/>
</calcChain>
</file>

<file path=xl/sharedStrings.xml><?xml version="1.0" encoding="utf-8"?>
<sst xmlns="http://schemas.openxmlformats.org/spreadsheetml/2006/main" count="909" uniqueCount="713">
  <si>
    <t>NOTES:</t>
  </si>
  <si>
    <t>Version</t>
  </si>
  <si>
    <t>Date of version</t>
  </si>
  <si>
    <r>
      <rPr>
        <b/>
        <i/>
        <sz val="11"/>
        <color theme="1"/>
        <rFont val="Calibri"/>
        <family val="2"/>
        <scheme val="minor"/>
      </rPr>
      <t xml:space="preserve">Report file name: </t>
    </r>
    <r>
      <rPr>
        <i/>
        <sz val="11"/>
        <color theme="1"/>
        <rFont val="Calibri"/>
        <family val="2"/>
        <scheme val="minor"/>
      </rPr>
      <t>Please replace the MMM-YYYY_XXXXXXX in the report filename (MLAG-MRT_V1_MMM-YYYY_XXXX) with first 3 letters of the month of the reporting date, the year and last 7 characters of the member's MLAG ID. E.g. MLAG-MRT_Dec-2014_0000001</t>
    </r>
  </si>
  <si>
    <r>
      <rPr>
        <b/>
        <i/>
        <sz val="11"/>
        <color theme="1"/>
        <rFont val="Calibri"/>
        <family val="2"/>
        <scheme val="minor"/>
      </rPr>
      <t>Reporting Period:</t>
    </r>
    <r>
      <rPr>
        <i/>
        <sz val="11"/>
        <color theme="1"/>
        <rFont val="Calibri"/>
        <family val="2"/>
        <scheme val="minor"/>
      </rPr>
      <t xml:space="preserve"> enter  </t>
    </r>
    <r>
      <rPr>
        <b/>
        <i/>
        <sz val="11"/>
        <color theme="1"/>
        <rFont val="Calibri"/>
        <family val="2"/>
        <scheme val="minor"/>
      </rPr>
      <t xml:space="preserve">the months  </t>
    </r>
    <r>
      <rPr>
        <i/>
        <sz val="11"/>
        <color theme="1"/>
        <rFont val="Calibri"/>
        <family val="2"/>
        <scheme val="minor"/>
      </rPr>
      <t>and</t>
    </r>
    <r>
      <rPr>
        <b/>
        <i/>
        <sz val="11"/>
        <color theme="1"/>
        <rFont val="Calibri"/>
        <family val="2"/>
        <scheme val="minor"/>
      </rPr>
      <t xml:space="preserve"> year </t>
    </r>
    <r>
      <rPr>
        <i/>
        <sz val="11"/>
        <color theme="1"/>
        <rFont val="Calibri"/>
        <family val="2"/>
        <scheme val="minor"/>
      </rPr>
      <t>covered in the reporting period</t>
    </r>
    <r>
      <rPr>
        <b/>
        <i/>
        <sz val="11"/>
        <color theme="1"/>
        <rFont val="Calibri"/>
        <family val="2"/>
        <scheme val="minor"/>
      </rPr>
      <t xml:space="preserve">   (e.g October -December, 2015 </t>
    </r>
    <r>
      <rPr>
        <i/>
        <sz val="11"/>
        <color theme="1"/>
        <rFont val="Calibri"/>
        <family val="2"/>
        <scheme val="minor"/>
      </rPr>
      <t xml:space="preserve">for the October to December 2015 quarter </t>
    </r>
    <r>
      <rPr>
        <b/>
        <i/>
        <sz val="11"/>
        <color theme="1"/>
        <rFont val="Calibri"/>
        <family val="2"/>
        <scheme val="minor"/>
      </rPr>
      <t>)</t>
    </r>
  </si>
  <si>
    <t>The 'Regional Breakdown' sheet should be completed before the 'Portfolio Report' sheet and the 'Outreach &amp; Social Performance' sheet so that data entered in the former will automatically populate relevant sections of the latter.</t>
  </si>
  <si>
    <r>
      <rPr>
        <b/>
        <i/>
        <sz val="11"/>
        <color rgb="FFFF0000"/>
        <rFont val="Calibri"/>
        <family val="2"/>
        <scheme val="minor"/>
      </rPr>
      <t>"Error"</t>
    </r>
    <r>
      <rPr>
        <i/>
        <sz val="11"/>
        <color theme="1"/>
        <rFont val="Calibri"/>
        <family val="2"/>
        <scheme val="minor"/>
      </rPr>
      <t xml:space="preserve"> at the top of the Balance Sheet indicates that the Total Assets are not equal to Total Liabilities and Capital and there is need for checking and correction before submission.</t>
    </r>
  </si>
  <si>
    <t>Loan "Impairment Loss Allowance" (Loan loss reserves) in the Balnace Sheet (line 2.5) is linked to the Portfolio Report (line 3.15) - Total Actual Provisions made. Please input the actual loan loss provisions as at the reporting date in that section of the Portfolio Report and it will automatically reflect in the Balance sheet.</t>
  </si>
  <si>
    <t>MEMBERS REPORTING TEMPLATE</t>
  </si>
  <si>
    <t xml:space="preserve">MEMBER NAME: </t>
  </si>
  <si>
    <t>MEMBER CODE:</t>
  </si>
  <si>
    <t>RETURN CODE:</t>
  </si>
  <si>
    <t>REPORTING PERIOD</t>
  </si>
  <si>
    <t>REPORTING DATE</t>
  </si>
  <si>
    <t>YEAR</t>
  </si>
  <si>
    <t>1.0.</t>
  </si>
  <si>
    <t xml:space="preserve"> INCOME STATEMENT</t>
  </si>
  <si>
    <t>Data for the reporting quarter</t>
  </si>
  <si>
    <t>Indicator</t>
  </si>
  <si>
    <t>Explanation (Definition of Indicator)</t>
  </si>
  <si>
    <t>GHS</t>
  </si>
  <si>
    <t>1.1</t>
  </si>
  <si>
    <t>Interest on Loan Portfolio</t>
  </si>
  <si>
    <t xml:space="preserve">Interest earned on the loan portfolio actually received during the reporting period.  </t>
  </si>
  <si>
    <t>1.2</t>
  </si>
  <si>
    <t>Fees and Commissions on Loan Portfolio</t>
  </si>
  <si>
    <t xml:space="preserve">Penalties, commissions, and other fees earned on the loan portfolio. </t>
  </si>
  <si>
    <t>1.3</t>
  </si>
  <si>
    <t xml:space="preserve">Interest from  Investments </t>
  </si>
  <si>
    <t>Interest earned on financial assets other than the loan portfolio, such as interest-bearing deposits, certificates of deposit, and treasury obligations. This may also include recovery of interest on previously written off loans.</t>
  </si>
  <si>
    <t>1.4</t>
  </si>
  <si>
    <t>Other income from investments</t>
  </si>
  <si>
    <t xml:space="preserve">Dividend and other income and payments generated by financial assets other than the loan portfolio.  </t>
  </si>
  <si>
    <t>1.5</t>
  </si>
  <si>
    <t>Other operating Revenue</t>
  </si>
  <si>
    <t xml:space="preserve">All other revenue from the provision of financial services, including transaction fees, premiums, membership fees, passbooks, and smartcards.  </t>
  </si>
  <si>
    <t>1.6</t>
  </si>
  <si>
    <t>Total Operating Revenue</t>
  </si>
  <si>
    <t>Line (1.1+1.2+1.3+1.4+1.5)</t>
  </si>
  <si>
    <t>Financial Expense</t>
  </si>
  <si>
    <t>1.7</t>
  </si>
  <si>
    <t>Interest on Client Investments</t>
  </si>
  <si>
    <t xml:space="preserve">Interest on all client investments held by the ML-MFI.  </t>
  </si>
  <si>
    <t>1.8</t>
  </si>
  <si>
    <t>Fees expense on Client Investments</t>
  </si>
  <si>
    <t xml:space="preserve">Fees for acquiring funds from client investments for operations. </t>
  </si>
  <si>
    <t>1.9</t>
  </si>
  <si>
    <t>Interest on Borrowings</t>
  </si>
  <si>
    <t xml:space="preserve">Interest on all borrowings that fund the loan portfolio. This account does not include interest and fees on non-funding liabilities, such as mortgages or car loans. </t>
  </si>
  <si>
    <t>1.10</t>
  </si>
  <si>
    <t>Fees expense on Borrowings</t>
  </si>
  <si>
    <t xml:space="preserve">Fees for acquiring funds from borrowings for operations. </t>
  </si>
  <si>
    <t>1.11</t>
  </si>
  <si>
    <t>Other Financial expense</t>
  </si>
  <si>
    <t xml:space="preserve">Other financial expense related to financial services, including interest on non-funding liabilities, such as mortgages, and loans linked to fixed assets, such as vehicles. </t>
  </si>
  <si>
    <t>1.12</t>
  </si>
  <si>
    <t>Total Financial Expense</t>
  </si>
  <si>
    <t>Total financial expense from operations including interest, fees and charges on loans, deposits and other liabilities.</t>
  </si>
  <si>
    <t>1.13</t>
  </si>
  <si>
    <t>Net Interest Income</t>
  </si>
  <si>
    <r>
      <t xml:space="preserve">Interest income less interest expense from operations - </t>
    </r>
    <r>
      <rPr>
        <b/>
        <i/>
        <sz val="11"/>
        <rFont val="Times New Roman"/>
        <family val="1"/>
      </rPr>
      <t>Line (1.1+1.3) less (1.7+1.9)</t>
    </r>
  </si>
  <si>
    <t>1.14</t>
  </si>
  <si>
    <t>Provision for Loan Impairment</t>
  </si>
  <si>
    <t xml:space="preserve">Also known as Gross Loan Loss Provision Expense, the non-cash expense calculated as a percentage of the value of the loan portfolio that is at risk of default. </t>
  </si>
  <si>
    <t>1.15</t>
  </si>
  <si>
    <t xml:space="preserve">Value of Loans Recovered </t>
  </si>
  <si>
    <r>
      <t xml:space="preserve">Total value of principal recovered on all loans previously written off, </t>
    </r>
    <r>
      <rPr>
        <i/>
        <sz val="11"/>
        <color rgb="FFFF0000"/>
        <rFont val="Times New Roman"/>
        <family val="1"/>
      </rPr>
      <t>entered as a NEGATIVE number</t>
    </r>
    <r>
      <rPr>
        <i/>
        <sz val="11"/>
        <rFont val="Times New Roman"/>
        <family val="1"/>
      </rPr>
      <t xml:space="preserve">. This includes principal on partially recovered loans and those recovered in full.  </t>
    </r>
  </si>
  <si>
    <t>Operating Expense</t>
  </si>
  <si>
    <t>1.16</t>
  </si>
  <si>
    <t>Personnel Expense</t>
  </si>
  <si>
    <t>Includes staff salaries, bonuses, and benefits, as well as employment taxes. It also includes the cost of employee recruitment and initial orientation. This excludes staff training cost.</t>
  </si>
  <si>
    <t>1.17</t>
  </si>
  <si>
    <t>Depreciation and Amortization Expense</t>
  </si>
  <si>
    <t xml:space="preserve">The non-cash expense that allocates the purchase cost of an MFI's fixed assets over their useful economic life. Amortization is used for other tangible assets, such as software.   </t>
  </si>
  <si>
    <t>1.18</t>
  </si>
  <si>
    <t>Other Administrative Expense</t>
  </si>
  <si>
    <t>Non-financial expenses excluding personnel directly related to the provision of financial services or other services that form an integral part of an MFI's financial services' relationship with its clients. This includes staff training costs.</t>
  </si>
  <si>
    <t>1.19</t>
  </si>
  <si>
    <t>Total Operating Expense</t>
  </si>
  <si>
    <t>Sum(1.16+1.17+1.18)</t>
  </si>
  <si>
    <t>1.20</t>
  </si>
  <si>
    <t>Net Operating Income</t>
  </si>
  <si>
    <r>
      <t xml:space="preserve">Net earnings from financial services . </t>
    </r>
    <r>
      <rPr>
        <b/>
        <i/>
        <sz val="11"/>
        <rFont val="Times New Roman"/>
        <family val="1"/>
      </rPr>
      <t>Line (1.6-1.12)-(1.14+1.15)-1.19</t>
    </r>
  </si>
  <si>
    <t>1.21</t>
  </si>
  <si>
    <t>Non-Operating Revenue</t>
  </si>
  <si>
    <t xml:space="preserve">The net earnings from products and services not directly related to core microfinance (money lending) operations. </t>
  </si>
  <si>
    <t>1.22</t>
  </si>
  <si>
    <t xml:space="preserve">Non- operating expense </t>
  </si>
  <si>
    <r>
      <t xml:space="preserve">All expenses not directly related to the core microfinance (money lending) operation, such as the cost of providing business development services or training, </t>
    </r>
    <r>
      <rPr>
        <i/>
        <sz val="11"/>
        <color rgb="FFFF0000"/>
        <rFont val="Times New Roman"/>
        <family val="1"/>
      </rPr>
      <t>entered as a NEGATIVE number</t>
    </r>
    <r>
      <rPr>
        <i/>
        <sz val="11"/>
        <rFont val="Times New Roman"/>
        <family val="1"/>
      </rPr>
      <t xml:space="preserve">. This account also includes any exceptional losses and expenses. </t>
    </r>
  </si>
  <si>
    <t>1.23</t>
  </si>
  <si>
    <t>Total Income Before Tax</t>
  </si>
  <si>
    <t>Line 1.20+(1.21+1.22)</t>
  </si>
  <si>
    <t>1.24</t>
  </si>
  <si>
    <t>Tax</t>
  </si>
  <si>
    <t>Tax on profit</t>
  </si>
  <si>
    <t>1.25</t>
  </si>
  <si>
    <t>Net Income After Tax</t>
  </si>
  <si>
    <t>Line 1.23-1.24</t>
  </si>
  <si>
    <t>ADJUSTED P&amp;L ITEMS</t>
  </si>
  <si>
    <t>1.26</t>
  </si>
  <si>
    <t>Adjusted Personnel Expense (GHS)</t>
  </si>
  <si>
    <r>
      <rPr>
        <b/>
        <i/>
        <sz val="10"/>
        <rFont val="Times New Roman"/>
        <family val="1"/>
      </rPr>
      <t xml:space="preserve">Calculated as : Actual Personnel Expense +( Estimated Market Cost of Personnel – Actual Cost of Personnel) .  </t>
    </r>
    <r>
      <rPr>
        <i/>
        <sz val="10"/>
        <rFont val="Times New Roman"/>
        <family val="1"/>
      </rPr>
      <t xml:space="preserve">            
</t>
    </r>
  </si>
  <si>
    <t>1.27</t>
  </si>
  <si>
    <t>Adjusted Operating Expenses  (GHS)</t>
  </si>
  <si>
    <t xml:space="preserve">Calculated as : Actual Operating expense +( Estimated operating expense – Actual operating expense) .   </t>
  </si>
  <si>
    <t>1.28</t>
  </si>
  <si>
    <t>Adjusted Loan Loss Provision Expense  (GHS)</t>
  </si>
  <si>
    <t xml:space="preserve">Calculated as : Actual loan loss provision expense +( Estimated loan loss provision expense  – Actual loan loss provision expense) .   </t>
  </si>
  <si>
    <t>1.29</t>
  </si>
  <si>
    <t>Adjusted Financial Expense (GHS)</t>
  </si>
  <si>
    <t xml:space="preserve">Calculated as : Actual Interest expense +( Estimated Market rate interest expense – Actual interest expense) .   </t>
  </si>
  <si>
    <t>1.30</t>
  </si>
  <si>
    <t>Adjusted Financial Revenue (GHS)</t>
  </si>
  <si>
    <t xml:space="preserve">Calculated as : Actual Interest income +( Estimated Market rate interest income – Actual interest income) .   </t>
  </si>
  <si>
    <t>2.0</t>
  </si>
  <si>
    <t xml:space="preserve">BALANCE SHEET </t>
  </si>
  <si>
    <t>Assets</t>
  </si>
  <si>
    <t>2.1</t>
  </si>
  <si>
    <t>Cash on hand and Due from Bank</t>
  </si>
  <si>
    <t xml:space="preserve">Cash and non-interest bearing bank balances and very short-dated (e.g. overnight) instruments with little or no interest. </t>
  </si>
  <si>
    <t>2.2</t>
  </si>
  <si>
    <t>Short Term Investment- Treasury Bills</t>
  </si>
  <si>
    <t>Investments in Government paper (Treasury Bills) with not more than 12 months maturity.</t>
  </si>
  <si>
    <t>2.3</t>
  </si>
  <si>
    <t>Short Term Investments-Other</t>
  </si>
  <si>
    <r>
      <t xml:space="preserve">Any financial assets </t>
    </r>
    <r>
      <rPr>
        <b/>
        <i/>
        <sz val="11"/>
        <rFont val="Times New Roman"/>
        <family val="1"/>
      </rPr>
      <t>other</t>
    </r>
    <r>
      <rPr>
        <i/>
        <sz val="11"/>
        <rFont val="Times New Roman"/>
        <family val="1"/>
      </rPr>
      <t xml:space="preserve"> </t>
    </r>
    <r>
      <rPr>
        <b/>
        <i/>
        <sz val="11"/>
        <rFont val="Times New Roman"/>
        <family val="1"/>
      </rPr>
      <t xml:space="preserve">than treasury bills, </t>
    </r>
    <r>
      <rPr>
        <i/>
        <sz val="11"/>
        <rFont val="Times New Roman"/>
        <family val="1"/>
      </rPr>
      <t xml:space="preserve">acquired or incurred primarily for the purpose of selling or repurchasing in the near term; i.e., convertible to cash within 12 months. These may include certificates of deposit, including interest-bearing deposits and are often used in liquidity management. </t>
    </r>
  </si>
  <si>
    <t>2.4</t>
  </si>
  <si>
    <t>Gross Loan Portfolio</t>
  </si>
  <si>
    <r>
      <rPr>
        <b/>
        <i/>
        <sz val="11"/>
        <rFont val="Times New Roman"/>
        <family val="1"/>
      </rPr>
      <t>Outstanding principal</t>
    </r>
    <r>
      <rPr>
        <i/>
        <sz val="11"/>
        <rFont val="Times New Roman"/>
        <family val="1"/>
      </rPr>
      <t xml:space="preserve"> for all outstanding client loans. This includes current, delinquent, and renegotiated loans, but not loans that have been written off. It does not include interest receivable. Loans to employees, board members, or others associated with the institution should be included.</t>
    </r>
  </si>
  <si>
    <t>2.5</t>
  </si>
  <si>
    <t xml:space="preserve">Impairment Loss Allowance </t>
  </si>
  <si>
    <r>
      <t xml:space="preserve">Previously known as the loan loss allowance, the portion of the Gross Loan Portfolio that has been expensed (provisioned for) in anticipation of losses due to default. This item represents the cumulative value of the impairment losses on loans less the cumulative value of loans written off. Express this item as a contra asset account and state it as a negative number. </t>
    </r>
    <r>
      <rPr>
        <i/>
        <sz val="11"/>
        <color rgb="FFFF0000"/>
        <rFont val="Times New Roman"/>
        <family val="1"/>
      </rPr>
      <t>(this figure should be negative)</t>
    </r>
  </si>
  <si>
    <t>2.6</t>
  </si>
  <si>
    <t>Net Loan Portfolio</t>
  </si>
  <si>
    <t>Gross loan portfolio less impairment loss allowance (loan loss reserves or accumulated provision for loan losses)</t>
  </si>
  <si>
    <t>2.7</t>
  </si>
  <si>
    <t>Accounts Receivable and other Assets</t>
  </si>
  <si>
    <t>Accounts receivable, notes receivables, and other receivables, net of any allowances for doubtful or uncollectible accounts. This includes all receivables other than client loan accounts, including interest receivable on non-funding liabilities such as mortgages.</t>
  </si>
  <si>
    <t>2.8</t>
  </si>
  <si>
    <t>Long term Investments</t>
  </si>
  <si>
    <t xml:space="preserve">Include investments that have a fixed maturity or payments that the MFI intents to hold to maturity. This item may include bonds or shares that the MFI plans to hold for 12 months or more or other financial assets available for sale but not considered loans, receivables, or Trade Investments. </t>
  </si>
  <si>
    <t>2.9</t>
  </si>
  <si>
    <t>Fixed Assets</t>
  </si>
  <si>
    <t>The cost or value of all physical property and property improvements, furniture, and equipment that the MFI currently uses.</t>
  </si>
  <si>
    <t>2.10</t>
  </si>
  <si>
    <t>Accumulated Depreciation and Amortization(this figure should be negative)</t>
  </si>
  <si>
    <r>
      <t xml:space="preserve">The sum of all depreciation expenses for Fixed Assets and the amortization of other tangible assets that have not yet been retired and removed from the balance sheet. Accumulated depreciation represents the reduction in value of Fixed Assets corresponding to the assets' remaining useful life. </t>
    </r>
    <r>
      <rPr>
        <i/>
        <sz val="11"/>
        <color rgb="FFFF0000"/>
        <rFont val="Times New Roman"/>
        <family val="1"/>
      </rPr>
      <t xml:space="preserve">This contra asset account is expressed as a negative number. </t>
    </r>
  </si>
  <si>
    <t>2.11</t>
  </si>
  <si>
    <t>Net Fixed Assets</t>
  </si>
  <si>
    <t>Gross fixed assets less accumulated depreciation</t>
  </si>
  <si>
    <t>2.12</t>
  </si>
  <si>
    <t>Total Assets</t>
  </si>
  <si>
    <t>Liabilities</t>
  </si>
  <si>
    <t>2.13</t>
  </si>
  <si>
    <t>Security Deposit</t>
  </si>
  <si>
    <t xml:space="preserve">This includes compulsory or security cash deposits that are held by the MFI as a condition for a current or future loan or other service, such as cash collateral accounts or guarantee deposits.  </t>
  </si>
  <si>
    <t>2.14</t>
  </si>
  <si>
    <t>Short term Borrowing</t>
  </si>
  <si>
    <r>
      <t>The principal balance due within 12 months from the statement date for all funds received through loans,</t>
    </r>
    <r>
      <rPr>
        <b/>
        <i/>
        <sz val="11"/>
        <rFont val="Times New Roman"/>
        <family val="1"/>
      </rPr>
      <t xml:space="preserve"> clients investments for fixed period</t>
    </r>
    <r>
      <rPr>
        <i/>
        <sz val="11"/>
        <rFont val="Times New Roman"/>
        <family val="1"/>
      </rPr>
      <t xml:space="preserve"> or other contractual debt agreement. This includes loans, lines of credit, and overdraft facilities with outstanding balances, as well as the portion of long-term obligations payable within 12 months. </t>
    </r>
  </si>
  <si>
    <t>2.15</t>
  </si>
  <si>
    <t>Long term borrowing</t>
  </si>
  <si>
    <r>
      <t>The principal balance due in more than 12 months for all funds received through loans,</t>
    </r>
    <r>
      <rPr>
        <b/>
        <i/>
        <sz val="11"/>
        <rFont val="Times New Roman"/>
        <family val="1"/>
      </rPr>
      <t xml:space="preserve"> clients investments for fixed period</t>
    </r>
    <r>
      <rPr>
        <i/>
        <sz val="11"/>
        <rFont val="Times New Roman"/>
        <family val="1"/>
      </rPr>
      <t xml:space="preserve"> or other contractual agreement and all subordinated debt.  </t>
    </r>
  </si>
  <si>
    <t>2.16</t>
  </si>
  <si>
    <t>Total Borrowing</t>
  </si>
  <si>
    <t>2.17</t>
  </si>
  <si>
    <t>Interest payable on funding liabilities</t>
  </si>
  <si>
    <t xml:space="preserve">Interest accrued on liability accounts that fund financial operations. It does not include borrowing for purchasing or improving real estate or other fixed assets such as vehicles. </t>
  </si>
  <si>
    <t>2.18</t>
  </si>
  <si>
    <t>Accounts Payable &amp; Other Short-term Liabilities</t>
  </si>
  <si>
    <t xml:space="preserve">Other short-term liabilities due within 12 months, including tax and salary liabilities, payroll withholdings, and other accounts payable. It should also include any deferred revenue as well as accrued interest on borrowing for purchasing or improving real estate or other fixed assets such as vehicles. </t>
  </si>
  <si>
    <t>2.19</t>
  </si>
  <si>
    <t>Managed Funds</t>
  </si>
  <si>
    <t>This account includes funds for which no set repayment date exists, such as subsidized loans from public agencies (e.g. District Assemblies) or related companies.</t>
  </si>
  <si>
    <t>2.20</t>
  </si>
  <si>
    <t>Total Liabilities</t>
  </si>
  <si>
    <t>Equity</t>
  </si>
  <si>
    <t>2.21</t>
  </si>
  <si>
    <t>Paid-up Capital/Contributed Capital</t>
  </si>
  <si>
    <t>The value of capital paid by shareholders or members/owners net of any shares repurchased or capital repaid or drawings by owners (in the case of individual operators).</t>
  </si>
  <si>
    <t>Donated Equity</t>
  </si>
  <si>
    <t>The total value of all Donations received and recognized as revenue.</t>
  </si>
  <si>
    <t>Statutory Reserves</t>
  </si>
  <si>
    <t xml:space="preserve">Reserves such as those imposed by law, statute, or Regulation  </t>
  </si>
  <si>
    <t>The total value of Net Income (After Taxes and Before Donations) from prior periods, net of any dividends paid to shareholders or members.</t>
  </si>
  <si>
    <t>The total value of Net Income (After Taxes and Before Donations) from current period</t>
  </si>
  <si>
    <t>Other Reserves</t>
  </si>
  <si>
    <t>Any other reserves set aside for special purposes</t>
  </si>
  <si>
    <t>Total Equity</t>
  </si>
  <si>
    <t>Total Liabilities &amp; Equity</t>
  </si>
  <si>
    <t>Period Average Figures</t>
  </si>
  <si>
    <t xml:space="preserve">Average Total Assets </t>
  </si>
  <si>
    <r>
      <t xml:space="preserve">Total assets at the beginning of the period plus total assets at the end of the period divided by two. </t>
    </r>
    <r>
      <rPr>
        <i/>
        <u/>
        <sz val="10"/>
        <rFont val="Times New Roman"/>
        <family val="1"/>
      </rPr>
      <t xml:space="preserve">
</t>
    </r>
    <r>
      <rPr>
        <i/>
        <sz val="10"/>
        <rFont val="Times New Roman"/>
        <family val="1"/>
      </rPr>
      <t xml:space="preserve">                                                                           </t>
    </r>
  </si>
  <si>
    <t xml:space="preserve">Average Gross loan portfolio  </t>
  </si>
  <si>
    <t>Gross loan portfolio at the beginning and end of the period divided by two.</t>
  </si>
  <si>
    <t>Average Total Equity</t>
  </si>
  <si>
    <r>
      <t xml:space="preserve">Total Equity at the beginning of the period plus total Equity at the end of the period divided by two. </t>
    </r>
    <r>
      <rPr>
        <i/>
        <u/>
        <sz val="10"/>
        <rFont val="Times New Roman"/>
        <family val="1"/>
      </rPr>
      <t xml:space="preserve">
</t>
    </r>
    <r>
      <rPr>
        <i/>
        <sz val="10"/>
        <rFont val="Times New Roman"/>
        <family val="1"/>
      </rPr>
      <t xml:space="preserve">                                                                           </t>
    </r>
  </si>
  <si>
    <t>Average Investment</t>
  </si>
  <si>
    <t xml:space="preserve">Total Investment (Short term &amp; Long Term) at the beginning of the period plus total Investment (Short term &amp; Long Term) at the end of the period divided by two. 
                                                                           </t>
  </si>
  <si>
    <t>Average Deposit</t>
  </si>
  <si>
    <r>
      <t xml:space="preserve">Total Deposit at the beginning of the period plus total Deposit at the end of the period divided by two. </t>
    </r>
    <r>
      <rPr>
        <i/>
        <u/>
        <sz val="10"/>
        <rFont val="Times New Roman"/>
        <family val="1"/>
      </rPr>
      <t xml:space="preserve">
</t>
    </r>
    <r>
      <rPr>
        <i/>
        <sz val="10"/>
        <rFont val="Times New Roman"/>
        <family val="1"/>
      </rPr>
      <t xml:space="preserve">                                                                           </t>
    </r>
  </si>
  <si>
    <t>Average Borrowing</t>
  </si>
  <si>
    <r>
      <t xml:space="preserve">Total Borrowing at the beginning of the period plus total Borrowing at the end of the period divided by two. </t>
    </r>
    <r>
      <rPr>
        <i/>
        <u/>
        <sz val="10"/>
        <rFont val="Times New Roman"/>
        <family val="1"/>
      </rPr>
      <t xml:space="preserve">
</t>
    </r>
    <r>
      <rPr>
        <i/>
        <sz val="10"/>
        <rFont val="Times New Roman"/>
        <family val="1"/>
      </rPr>
      <t xml:space="preserve">                                                                           </t>
    </r>
  </si>
  <si>
    <t>Average number of active borrowers</t>
  </si>
  <si>
    <t>Number of active borrowers at the beginning of the peroid + number of active borrowers at the end of the period divided by two</t>
  </si>
  <si>
    <t>Average Earning Assets</t>
  </si>
  <si>
    <t xml:space="preserve">Gross loan portfolio at the beginning and end of the period divided by two plus Total Investment (Short term &amp; Long Term) at the beginning of the period plus total Investment (Short term &amp; Long Term) at the end of the period divided by two. </t>
  </si>
  <si>
    <t>Inflation rate (Year on year)</t>
  </si>
  <si>
    <t>3.0</t>
  </si>
  <si>
    <t>Portfolio Activity, Quality and Aging</t>
  </si>
  <si>
    <t>NUMBER</t>
  </si>
  <si>
    <t>VALUE (GHS)</t>
  </si>
  <si>
    <t>3.1</t>
  </si>
  <si>
    <t>Loans Disbursed</t>
  </si>
  <si>
    <r>
      <t xml:space="preserve">The </t>
    </r>
    <r>
      <rPr>
        <b/>
        <i/>
        <sz val="10"/>
        <color indexed="8"/>
        <rFont val="Times New Roman"/>
        <family val="1"/>
      </rPr>
      <t>number</t>
    </r>
    <r>
      <rPr>
        <i/>
        <sz val="10"/>
        <color indexed="8"/>
        <rFont val="Times New Roman"/>
        <family val="1"/>
      </rPr>
      <t xml:space="preserve">  and </t>
    </r>
    <r>
      <rPr>
        <b/>
        <i/>
        <sz val="10"/>
        <color indexed="8"/>
        <rFont val="Times New Roman"/>
        <family val="1"/>
      </rPr>
      <t xml:space="preserve">Value </t>
    </r>
    <r>
      <rPr>
        <i/>
        <sz val="10"/>
        <color indexed="8"/>
        <rFont val="Times New Roman"/>
        <family val="1"/>
      </rPr>
      <t>of all loans disbursed during the period. For MLs using a group lending methodology, the number of loans should refer to the number of individuals receiving loans as part of a group or as part of a group loan. If one person receives more than one loan in the period, count each loan.</t>
    </r>
  </si>
  <si>
    <t>3.2</t>
  </si>
  <si>
    <t>Loans outstanding</t>
  </si>
  <si>
    <r>
      <t xml:space="preserve">The </t>
    </r>
    <r>
      <rPr>
        <b/>
        <i/>
        <sz val="10"/>
        <rFont val="Times New Roman"/>
        <family val="1"/>
      </rPr>
      <t xml:space="preserve">number </t>
    </r>
    <r>
      <rPr>
        <i/>
        <sz val="10"/>
        <rFont val="Times New Roman"/>
        <family val="1"/>
      </rPr>
      <t xml:space="preserve"> and </t>
    </r>
    <r>
      <rPr>
        <b/>
        <i/>
        <sz val="10"/>
        <rFont val="Times New Roman"/>
        <family val="1"/>
      </rPr>
      <t>Principal Value</t>
    </r>
    <r>
      <rPr>
        <i/>
        <sz val="10"/>
        <rFont val="Times New Roman"/>
        <family val="1"/>
      </rPr>
      <t xml:space="preserve"> of loans in the Gross Loan Portfolio. For MLs using a group lending methodology, the number of loans should refer to the number of individuals receiving loans as part of a group or as part of a group loan. This includes current, delinquent, and renegotiated loans, but not loans that have been written off. It does not include interest receivable. Loans to employees, board members, or others associated with the institution should be included.</t>
    </r>
  </si>
  <si>
    <t>3.3</t>
  </si>
  <si>
    <t xml:space="preserve">Loans written off  </t>
  </si>
  <si>
    <r>
      <t xml:space="preserve">The </t>
    </r>
    <r>
      <rPr>
        <b/>
        <i/>
        <sz val="10"/>
        <color indexed="8"/>
        <rFont val="Times New Roman"/>
        <family val="1"/>
      </rPr>
      <t xml:space="preserve">number  and Principal Value </t>
    </r>
    <r>
      <rPr>
        <i/>
        <sz val="10"/>
        <color indexed="8"/>
        <rFont val="Times New Roman"/>
        <family val="1"/>
      </rPr>
      <t>of loans that have been recognized as uncollectible for accounting purposes. A write-off is an  accounting procedure that removes the outstanding balance of the loan from the Gross Loan Portfolio and  Impairment Loss Allowance.</t>
    </r>
  </si>
  <si>
    <t>3.4</t>
  </si>
  <si>
    <t>Top ten (10) largest loans  (GHS)</t>
  </si>
  <si>
    <t>Total Outstanding Principal amount of the 10 largest loans</t>
  </si>
  <si>
    <t>Portfolio Aging Analysis &amp; Loan Loss Provisioning</t>
  </si>
  <si>
    <t>Min Prov Rate (%)</t>
  </si>
  <si>
    <t>Min Required Prov (GHS)</t>
  </si>
  <si>
    <t>Actual Prov (GHS)</t>
  </si>
  <si>
    <t>3.5</t>
  </si>
  <si>
    <t>CURRENT</t>
  </si>
  <si>
    <t>Principal outstanding of all loans with at least one installments due (Principal and interest) fully paid but excluding rescheduled loans..</t>
  </si>
  <si>
    <t>3.6</t>
  </si>
  <si>
    <t>1-30 DAYS</t>
  </si>
  <si>
    <t>Sum of principal outstanding of all loans with at least one installment due in arrears between 1 and 30 days) but excluding rescheduled loans.</t>
  </si>
  <si>
    <t>3.7</t>
  </si>
  <si>
    <t>31-60 DAYS</t>
  </si>
  <si>
    <t>3.8</t>
  </si>
  <si>
    <t>61 - 90 DAYS</t>
  </si>
  <si>
    <t>Sum of principal outstanding of all loans with at least one installment due in arrears between 61 and 90 days) but excluding rescheduled loans.</t>
  </si>
  <si>
    <t>3.9</t>
  </si>
  <si>
    <t>91 - 120 DAYS</t>
  </si>
  <si>
    <t>Sum of principal outstanding of all loans with at least one installment due in arrears between 91 and 120 days) but excluding rescheduled loans.</t>
  </si>
  <si>
    <t>3.10</t>
  </si>
  <si>
    <t>121 - 150DAYS</t>
  </si>
  <si>
    <t>Sum of principal outstanding of all loans with at least one installment due in arrears between 121 and 150 days) but excluding rescheduled loans.</t>
  </si>
  <si>
    <t>3.11</t>
  </si>
  <si>
    <t>151 -180 DAYS</t>
  </si>
  <si>
    <t>Sum of principal outstanding of all loans with at least one installment due in arrears between 151 and 180 days) but excluding rescheduled loans.</t>
  </si>
  <si>
    <t>3.12</t>
  </si>
  <si>
    <t>181-365 days</t>
  </si>
  <si>
    <t>Sum of principal outstanding of all loans with at least one installment due in arrears between 181 and 365 days) but excluding rescheduled loans.</t>
  </si>
  <si>
    <t>3.13</t>
  </si>
  <si>
    <t xml:space="preserve"> &gt;365 days</t>
  </si>
  <si>
    <t>Sum of principal outstanding of all loans with at least one installment due in arrears more than days) but excluding rescheduled loans.</t>
  </si>
  <si>
    <t>3.14</t>
  </si>
  <si>
    <t>Rescheduled (no current arrears)</t>
  </si>
  <si>
    <t>Principal outstanding of all loans with at least one installment in arrears that have been rescheduled or restructured</t>
  </si>
  <si>
    <t>3.15</t>
  </si>
  <si>
    <t>Total Gross Portfolio</t>
  </si>
  <si>
    <t>3.16</t>
  </si>
  <si>
    <t>Total PAR=&gt; 1 day (PAR1 excluding rescheduled) - GHS</t>
  </si>
  <si>
    <t>Sum of principal outstanding of all loans with at least one installment in arrears for 1 day or more but excluding rescheduled loans)</t>
  </si>
  <si>
    <t>3.17</t>
  </si>
  <si>
    <t>Total PAR=&gt; 1 day (PAR1 excluding rescheduled) - %</t>
  </si>
  <si>
    <t>Sum of principal outstanding of all loans with at least one installment in arrears for 1 day or more but excluding rescheduled loans) divided by gross loans outstanding</t>
  </si>
  <si>
    <t>3.18</t>
  </si>
  <si>
    <t>Total PAR&gt; 30 days (PAR30 excluding rescheduled) - GHS</t>
  </si>
  <si>
    <t>Sum of principal outstanding of all loans with at least one installment due in arrears for more than 30 days but excluding rescheduled loans)</t>
  </si>
  <si>
    <t>3.19</t>
  </si>
  <si>
    <t>Total PAR&gt; 30 days (PAR30 excluding rescheduled) - %</t>
  </si>
  <si>
    <t>Sum of principal outstanding of all loans with at least one installment due in arrears for more than 30 days but excluding rescheduled loans) divided by gross loans outstanding</t>
  </si>
  <si>
    <t>3.20</t>
  </si>
  <si>
    <t>Total Delinquent Loans (PAR=&gt; 1+Rescheduled) - GHS</t>
  </si>
  <si>
    <t>Sum of principal outstanding of all loans with at least one installment in arrears for 1 day or more plus rescheduled loans)</t>
  </si>
  <si>
    <t>3.21</t>
  </si>
  <si>
    <t>Total Delinquent Loans (PAR=&gt; 1+Rescheduled) - %</t>
  </si>
  <si>
    <t>Sum of principal outstanding of all loans with at least one installment in arrears for 1 day or more plus rescheduled loans) divided by gross loans outstanding</t>
  </si>
  <si>
    <t>3.22</t>
  </si>
  <si>
    <t>PAR&gt; 30 (PAR&gt; 30+Rescheduled) - GHS</t>
  </si>
  <si>
    <t>Sum of principal outstanding of all loans with at least one installment due in arrears for more than 30 days plus rescheduled loans)</t>
  </si>
  <si>
    <t>3.23</t>
  </si>
  <si>
    <t>PAR&gt; 30 (PAR&gt; 30+Rescheduled) - %</t>
  </si>
  <si>
    <t>Sum of principal outstanding of all loans with at least one installment due in arrears for more than 30 days plus rescheduled loans) divided by gross loans outstanding</t>
  </si>
  <si>
    <t>4.0</t>
  </si>
  <si>
    <t xml:space="preserve">SECTORIAL BREAKDOWN OF LOAN PORTFOLIO </t>
  </si>
  <si>
    <t>4.1</t>
  </si>
  <si>
    <t>Agric / fishing/ forestry</t>
  </si>
  <si>
    <t>4.2</t>
  </si>
  <si>
    <t>Manufacturing /Agro-processing</t>
  </si>
  <si>
    <t>4.3</t>
  </si>
  <si>
    <t xml:space="preserve">Commerce/Trading </t>
  </si>
  <si>
    <t>4.4</t>
  </si>
  <si>
    <t>Education</t>
  </si>
  <si>
    <t>4.5</t>
  </si>
  <si>
    <t>Church / Religious related enterprise</t>
  </si>
  <si>
    <t>4.6</t>
  </si>
  <si>
    <t>Transport/communication</t>
  </si>
  <si>
    <t>4.7</t>
  </si>
  <si>
    <t>Services</t>
  </si>
  <si>
    <t>4.8</t>
  </si>
  <si>
    <t>Household Consumption</t>
  </si>
  <si>
    <t>4.9</t>
  </si>
  <si>
    <t>Mortgage/housing/ home improvement</t>
  </si>
  <si>
    <t>4.10</t>
  </si>
  <si>
    <t>Loans for Funeral / Festive Occasions</t>
  </si>
  <si>
    <t>4.11</t>
  </si>
  <si>
    <t>Mining &amp; Quarrying</t>
  </si>
  <si>
    <t>4.12</t>
  </si>
  <si>
    <t>Construction</t>
  </si>
  <si>
    <t>4.13</t>
  </si>
  <si>
    <t>Others</t>
  </si>
  <si>
    <t>4.14</t>
  </si>
  <si>
    <t>Total Gross Loans Outstanding</t>
  </si>
  <si>
    <t>5.0</t>
  </si>
  <si>
    <t>OUTREACH &amp; SOCIAL PERFORMANCE DATA</t>
  </si>
  <si>
    <t>5.1</t>
  </si>
  <si>
    <t>Number of New clients Registered</t>
  </si>
  <si>
    <t>5.2</t>
  </si>
  <si>
    <t>Number of New Female Clients Registered</t>
  </si>
  <si>
    <t>5.3</t>
  </si>
  <si>
    <t>Number of New Borrowers</t>
  </si>
  <si>
    <t>5.4</t>
  </si>
  <si>
    <t>Number of New Female Borrowers</t>
  </si>
  <si>
    <t>5.5</t>
  </si>
  <si>
    <t>Number of Clients</t>
  </si>
  <si>
    <t xml:space="preserve">The number of borrowers, client investors, and other clients who are currently accessing any of the MFI’s financial services; i.e., they have a loan and/or investment account as of the report date. Individuals who access multiple services with an MFI should be counted as a single client. </t>
  </si>
  <si>
    <t>5.6</t>
  </si>
  <si>
    <t>Number of female Clients</t>
  </si>
  <si>
    <t xml:space="preserve">The number of  female borrowers, client investors, and other female clients who are currently accessing any of the MFI’s financial services; i.e., they have a loan and/ or investment account as of the report date. Individuals who access multiple services with an MFI should be counted as a single client. </t>
  </si>
  <si>
    <t>5.7</t>
  </si>
  <si>
    <t>Number of Active Borrowers</t>
  </si>
  <si>
    <r>
      <t xml:space="preserve">Refers to the number of </t>
    </r>
    <r>
      <rPr>
        <b/>
        <i/>
        <sz val="10"/>
        <color indexed="8"/>
        <rFont val="Times New Roman"/>
        <family val="1"/>
      </rPr>
      <t xml:space="preserve"> borrowers</t>
    </r>
    <r>
      <rPr>
        <i/>
        <sz val="10"/>
        <color indexed="8"/>
        <rFont val="Times New Roman"/>
        <family val="1"/>
      </rPr>
      <t xml:space="preserve"> with a loan that have neither been fully repaid nor written-off during the reporting period. </t>
    </r>
    <r>
      <rPr>
        <b/>
        <i/>
        <sz val="10"/>
        <color indexed="8"/>
        <rFont val="Times New Roman"/>
        <family val="1"/>
      </rPr>
      <t xml:space="preserve"> Borrowers</t>
    </r>
    <r>
      <rPr>
        <i/>
        <sz val="10"/>
        <color indexed="8"/>
        <rFont val="Times New Roman"/>
        <family val="1"/>
      </rPr>
      <t>, who have repaid their loan in full, are not considered in this number.</t>
    </r>
  </si>
  <si>
    <t>5.8</t>
  </si>
  <si>
    <t>Number of Active Female Borrowers</t>
  </si>
  <si>
    <r>
      <t xml:space="preserve">Refers to the number of </t>
    </r>
    <r>
      <rPr>
        <b/>
        <i/>
        <sz val="10"/>
        <color indexed="8"/>
        <rFont val="Times New Roman"/>
        <family val="1"/>
      </rPr>
      <t>female borrowers</t>
    </r>
    <r>
      <rPr>
        <i/>
        <sz val="10"/>
        <color indexed="8"/>
        <rFont val="Times New Roman"/>
        <family val="1"/>
      </rPr>
      <t xml:space="preserve"> with a loan that have neither been fully repaid nor written-off during the reporting period. </t>
    </r>
    <r>
      <rPr>
        <b/>
        <i/>
        <sz val="10"/>
        <color indexed="8"/>
        <rFont val="Times New Roman"/>
        <family val="1"/>
      </rPr>
      <t>Female borrowers</t>
    </r>
    <r>
      <rPr>
        <i/>
        <sz val="10"/>
        <color indexed="8"/>
        <rFont val="Times New Roman"/>
        <family val="1"/>
      </rPr>
      <t>, who have repaid their loan in full, are not considered in this number.</t>
    </r>
  </si>
  <si>
    <t>5.9</t>
  </si>
  <si>
    <t>Value of compulsory savings (GHS)</t>
  </si>
  <si>
    <t>5.10</t>
  </si>
  <si>
    <t>Average loan size disbursed (GHS)</t>
  </si>
  <si>
    <t>5.11</t>
  </si>
  <si>
    <t>Average loan size outstanding (GHS)</t>
  </si>
  <si>
    <t>5.12</t>
  </si>
  <si>
    <t>Value of Client Investments (GHS)</t>
  </si>
  <si>
    <t>Funds placed with/ lent money to the institution by clients for a fixed period</t>
  </si>
  <si>
    <t>5.13</t>
  </si>
  <si>
    <t>Number of client investors</t>
  </si>
  <si>
    <t>This refers to the clients who have placed funds with/ lent money to the institution for a fixed period</t>
  </si>
  <si>
    <t>5.14</t>
  </si>
  <si>
    <t>Number of female client investors</t>
  </si>
  <si>
    <t>This refers to the female clients who have placed funds with/ lent money to the institution for a fixed period</t>
  </si>
  <si>
    <t>5.15</t>
  </si>
  <si>
    <t>Value of Loans  to Women</t>
  </si>
  <si>
    <t>Amount of loans disbursed to women during the reporting period</t>
  </si>
  <si>
    <t>5.16</t>
  </si>
  <si>
    <t>Number of Personnel (Staff)</t>
  </si>
  <si>
    <t>5.17</t>
  </si>
  <si>
    <t>Number of female Personnel (Staff)</t>
  </si>
  <si>
    <t>5.18</t>
  </si>
  <si>
    <t>Number of Loan Officers/Credit Officers</t>
  </si>
  <si>
    <t>5.19</t>
  </si>
  <si>
    <t>Number of new staff recruited during the period</t>
  </si>
  <si>
    <t>5.20</t>
  </si>
  <si>
    <t>Number of staff who resigned during the period</t>
  </si>
  <si>
    <t>5.21</t>
  </si>
  <si>
    <t>Number of Staff in Management position</t>
  </si>
  <si>
    <t>5.22</t>
  </si>
  <si>
    <t>Number of Female Staff in  management position</t>
  </si>
  <si>
    <t>5.23</t>
  </si>
  <si>
    <t>Number of management meetings held during the period</t>
  </si>
  <si>
    <t>5.24</t>
  </si>
  <si>
    <t>Number of Board Members</t>
  </si>
  <si>
    <t>5.25</t>
  </si>
  <si>
    <t>Number of Board Meetings held during the period</t>
  </si>
  <si>
    <t>5.26</t>
  </si>
  <si>
    <t>Number of start-up businesses supported with credit during the period</t>
  </si>
  <si>
    <t>5.27</t>
  </si>
  <si>
    <t>Number of enterprises that received credit during the period</t>
  </si>
  <si>
    <t>5.28</t>
  </si>
  <si>
    <t>Total Number of youth with loans (18-35 years)</t>
  </si>
  <si>
    <t>5.29</t>
  </si>
  <si>
    <t>Value of Loans made to the youth (18 - 35) (GHS)</t>
  </si>
  <si>
    <t>5.30</t>
  </si>
  <si>
    <t>Total Number of Loans to the disabled</t>
  </si>
  <si>
    <t>5.31</t>
  </si>
  <si>
    <t>Value of Loans to the  disabled (GHS)</t>
  </si>
  <si>
    <t>BRANCH NETWORK</t>
  </si>
  <si>
    <t>5.32</t>
  </si>
  <si>
    <t>Number of Branch/offices</t>
  </si>
  <si>
    <t>5.33</t>
  </si>
  <si>
    <t>Number of Agencies</t>
  </si>
  <si>
    <t>REGIONAL BREAK DOWN</t>
  </si>
  <si>
    <t xml:space="preserve">PARAMETERS/ INDICATORS </t>
  </si>
  <si>
    <t>DESCRIPTION</t>
  </si>
  <si>
    <t>TOTAL</t>
  </si>
  <si>
    <t>1.0</t>
  </si>
  <si>
    <t>PORTFOLIO ACTIVITY, QUALITY AND AGING</t>
  </si>
  <si>
    <t>DEFINITION</t>
  </si>
  <si>
    <t xml:space="preserve">Loans Disbursed </t>
  </si>
  <si>
    <r>
      <rPr>
        <b/>
        <i/>
        <sz val="10"/>
        <color indexed="8"/>
        <rFont val="Times New Roman"/>
        <family val="1"/>
      </rPr>
      <t xml:space="preserve">The number  and Value </t>
    </r>
    <r>
      <rPr>
        <i/>
        <sz val="10"/>
        <color indexed="8"/>
        <rFont val="Times New Roman"/>
        <family val="1"/>
      </rPr>
      <t>of all loans disbursed during the period. For MFIs using a group lending methodology, the number of loans should refer to the number of individuals receiving loans as part of a group or as part of a group loan. If one person receives more than one loan in the period, count each loan.</t>
    </r>
  </si>
  <si>
    <t>Loans Outstanding</t>
  </si>
  <si>
    <r>
      <t xml:space="preserve">The </t>
    </r>
    <r>
      <rPr>
        <b/>
        <i/>
        <sz val="10"/>
        <color indexed="8"/>
        <rFont val="Times New Roman"/>
        <family val="1"/>
      </rPr>
      <t xml:space="preserve">number  and Principal Value </t>
    </r>
    <r>
      <rPr>
        <i/>
        <sz val="10"/>
        <color indexed="8"/>
        <rFont val="Times New Roman"/>
        <family val="1"/>
      </rPr>
      <t>of loans in the Gross Loan Portfolio. For MFIs using a group lending methodology, the number of loans should refer to the number of individuals receiving loans as part of a group or as part of a group loan.</t>
    </r>
  </si>
  <si>
    <t>Loans written off during the period</t>
  </si>
  <si>
    <t>Aging of Loans:</t>
  </si>
  <si>
    <t>Principal outstanding of all loans with at least one installment due (Principal and interest) fully paid but excluding rescheduled loans..</t>
  </si>
  <si>
    <t>Total PAR=&gt; 1 day (PAR1 excluding rescheduled) (GHS)</t>
  </si>
  <si>
    <t>Total PAR=&gt; 1 day (PAR1 excluding rescheduled) %</t>
  </si>
  <si>
    <t>Total PAR&gt; 30 days (PAR30 excluding rescheduled)(GHS)</t>
  </si>
  <si>
    <t>Total PAR&gt; 30 days (PAR30 excluding rescheduled) %</t>
  </si>
  <si>
    <t>Total Delinquent Loans (PAR=&gt; 1+Rescheduled) (GHS)</t>
  </si>
  <si>
    <t>Total Delinquent Loans (PAR=&gt; 1+Rescheduled) %</t>
  </si>
  <si>
    <t>PAR&gt; 30 (PAR&gt; 30+Rescheduled)  (GHS)</t>
  </si>
  <si>
    <t>PAR&gt; 30 (PAR&gt; 30+Rescheduled) %</t>
  </si>
  <si>
    <t>Transport/Communication</t>
  </si>
  <si>
    <r>
      <t>OUTREACH &amp; SOCIAL PERFORMANCE DATA</t>
    </r>
    <r>
      <rPr>
        <b/>
        <sz val="12"/>
        <color indexed="8"/>
        <rFont val="Times New Roman"/>
        <family val="1"/>
      </rPr>
      <t> </t>
    </r>
  </si>
  <si>
    <t xml:space="preserve">Total Number of Clients </t>
  </si>
  <si>
    <t>Total Number of female clients</t>
  </si>
  <si>
    <t>Number of Active  Borrowers</t>
  </si>
  <si>
    <t>Average Loan Size Disbursed (GHS)</t>
  </si>
  <si>
    <t>Value of loans principal disbursed divided by the number of loans disbursed.</t>
  </si>
  <si>
    <t>Average Loan Size Outstanding (GHS)</t>
  </si>
  <si>
    <t>Value of gross loan  principal outstanding divided by the number of loans outstanding.</t>
  </si>
  <si>
    <t>Total Number of youth supported with loans (18-35 years) during the reporting period</t>
  </si>
  <si>
    <t>Amount of loans disbursed to the youth (18-35) during the reporting period</t>
  </si>
  <si>
    <t>Value of Loans  disbursed to Women (GHS)</t>
  </si>
  <si>
    <t>Total Number of disabled supported with loans during the reporting period</t>
  </si>
  <si>
    <t>Amount of loans disbursed to disabled during the reporting period</t>
  </si>
  <si>
    <t>NO.</t>
  </si>
  <si>
    <t xml:space="preserve">PARAMETER/ INDICATOR </t>
  </si>
  <si>
    <t>Definition/ formula for the ratio</t>
  </si>
  <si>
    <t>Source Data</t>
  </si>
  <si>
    <t>Calculated Ratios</t>
  </si>
  <si>
    <t>PROFITABILITY &amp; SUSTAINABILITY</t>
  </si>
  <si>
    <t>PS1</t>
  </si>
  <si>
    <t>Return on Assets</t>
  </si>
  <si>
    <r>
      <rPr>
        <u/>
        <sz val="11"/>
        <rFont val="Times New Roman"/>
        <family val="1"/>
      </rPr>
      <t>Net Operating income after taxes</t>
    </r>
    <r>
      <rPr>
        <sz val="11"/>
        <rFont val="Times New Roman"/>
        <family val="1"/>
      </rPr>
      <t xml:space="preserve">
Average  Assets
</t>
    </r>
  </si>
  <si>
    <t xml:space="preserve">P&amp;L line 1.25/Balance sheet line 2.34 </t>
  </si>
  <si>
    <t>PS2</t>
  </si>
  <si>
    <t>Return on Equity</t>
  </si>
  <si>
    <r>
      <rPr>
        <u/>
        <sz val="11"/>
        <rFont val="Times New Roman"/>
        <family val="1"/>
      </rPr>
      <t>Net Operating income after taxes</t>
    </r>
    <r>
      <rPr>
        <sz val="11"/>
        <rFont val="Times New Roman"/>
        <family val="1"/>
      </rPr>
      <t xml:space="preserve">
Average  Equity
</t>
    </r>
  </si>
  <si>
    <t xml:space="preserve">P&amp;L line 1.25/Balance sheet line 2.36 </t>
  </si>
  <si>
    <t>PS3</t>
  </si>
  <si>
    <t>Operational Sustainability (OSS) expressed as percentage</t>
  </si>
  <si>
    <r>
      <t xml:space="preserve">                                     </t>
    </r>
    <r>
      <rPr>
        <u/>
        <sz val="11"/>
        <rFont val="Times New Roman"/>
        <family val="1"/>
      </rPr>
      <t xml:space="preserve"> Operating Income </t>
    </r>
    <r>
      <rPr>
        <sz val="11"/>
        <rFont val="Times New Roman"/>
        <family val="1"/>
      </rPr>
      <t xml:space="preserve">
                  Financing Costs + Loan Loss Provisions + Operating Costs</t>
    </r>
  </si>
  <si>
    <t>(P&amp;L line 1.6/(P&amp;L line 1.12+1.14+1.19)</t>
  </si>
  <si>
    <t>PS4</t>
  </si>
  <si>
    <t>Financial Self-Sufficiency (FSS) expressed as percentage</t>
  </si>
  <si>
    <r>
      <t xml:space="preserve">Adjusted Financial Revenue
(Adjusted Financial Expense + Adjusted Impairment Losses on Loans </t>
    </r>
    <r>
      <rPr>
        <sz val="11"/>
        <rFont val="Times New Roman"/>
        <family val="1"/>
      </rPr>
      <t>+ Adjusted Operating Expense)</t>
    </r>
  </si>
  <si>
    <t>(P&amp;L line 1.30/(P&amp;L lines 1.29+1.28+1.27))</t>
  </si>
  <si>
    <t>PS5</t>
  </si>
  <si>
    <t>Net Profit Margin</t>
  </si>
  <si>
    <t xml:space="preserve">Net income after tax
Total Revenue </t>
  </si>
  <si>
    <t>P &amp; L line 1.25/(P &amp; L line 1.6 + P &amp; L line 1.21)</t>
  </si>
  <si>
    <t>PS6</t>
  </si>
  <si>
    <t>Net Interest margin</t>
  </si>
  <si>
    <r>
      <t xml:space="preserve">Net Interest Income
</t>
    </r>
    <r>
      <rPr>
        <sz val="11"/>
        <rFont val="Times New Roman"/>
        <family val="1"/>
      </rPr>
      <t>Average Earning assets</t>
    </r>
  </si>
  <si>
    <t>P&amp; L line 1.13/ Balance sheet line2.41</t>
  </si>
  <si>
    <t>PS7</t>
  </si>
  <si>
    <t>Financial Expense Ratio</t>
  </si>
  <si>
    <r>
      <t xml:space="preserve">Interest and Fees on Funding liabilities
</t>
    </r>
    <r>
      <rPr>
        <sz val="11"/>
        <rFont val="Times New Roman"/>
        <family val="1"/>
      </rPr>
      <t>Average Gross Loan Portfolio</t>
    </r>
  </si>
  <si>
    <t xml:space="preserve">[P &amp; L line 1.12-P &amp; L line1.11]/ [Balance sheet line 2.35 </t>
  </si>
  <si>
    <r>
      <t>ASSETS/ LIABILITY MANAGEMENT &amp; FINANCIAL</t>
    </r>
    <r>
      <rPr>
        <b/>
        <u/>
        <sz val="11"/>
        <rFont val="Times New Roman"/>
        <family val="1"/>
      </rPr>
      <t xml:space="preserve"> </t>
    </r>
    <r>
      <rPr>
        <b/>
        <sz val="11"/>
        <rFont val="Times New Roman"/>
        <family val="1"/>
      </rPr>
      <t>STRUCTURE</t>
    </r>
    <r>
      <rPr>
        <b/>
        <u/>
        <sz val="11"/>
        <rFont val="Times New Roman"/>
        <family val="1"/>
      </rPr>
      <t xml:space="preserve"> </t>
    </r>
  </si>
  <si>
    <t>FS1</t>
  </si>
  <si>
    <t>Total Asset</t>
  </si>
  <si>
    <t xml:space="preserve">Balance sheet line 2.12 </t>
  </si>
  <si>
    <t>FS2</t>
  </si>
  <si>
    <t>Capital to Assets Ratio</t>
  </si>
  <si>
    <r>
      <rPr>
        <u/>
        <sz val="11"/>
        <rFont val="Times New Roman"/>
        <family val="1"/>
      </rPr>
      <t xml:space="preserve"> Total Equity
</t>
    </r>
    <r>
      <rPr>
        <sz val="11"/>
        <rFont val="Times New Roman"/>
        <family val="1"/>
      </rPr>
      <t>Total Assets</t>
    </r>
  </si>
  <si>
    <t>Balance Sheet line 2.27/ Balance sheet line 2.12</t>
  </si>
  <si>
    <t>FS3</t>
  </si>
  <si>
    <t>Gross Loan Portfolio to Total Assets Ratio</t>
  </si>
  <si>
    <r>
      <rPr>
        <u/>
        <sz val="11"/>
        <rFont val="Times New Roman"/>
        <family val="1"/>
      </rPr>
      <t>Value of Gross Loan Portfolio</t>
    </r>
    <r>
      <rPr>
        <sz val="11"/>
        <rFont val="Times New Roman"/>
        <family val="1"/>
      </rPr>
      <t xml:space="preserve">
Total Asset</t>
    </r>
  </si>
  <si>
    <t>Balance sheet line 2.4/ Balance sheet line 2.12</t>
  </si>
  <si>
    <t>FS4</t>
  </si>
  <si>
    <t>Debt to Equity Ratio</t>
  </si>
  <si>
    <r>
      <rPr>
        <u/>
        <sz val="11"/>
        <rFont val="Times New Roman"/>
        <family val="1"/>
      </rPr>
      <t>Total Liabilities</t>
    </r>
    <r>
      <rPr>
        <sz val="11"/>
        <rFont val="Times New Roman"/>
        <family val="1"/>
      </rPr>
      <t xml:space="preserve">
Total Equity</t>
    </r>
  </si>
  <si>
    <t>Balance sheet line 2.20/ Balance sheet line 2.27</t>
  </si>
  <si>
    <t>FS6</t>
  </si>
  <si>
    <t xml:space="preserve">Yield on Gross Portfolio </t>
  </si>
  <si>
    <r>
      <rPr>
        <u/>
        <sz val="11"/>
        <rFont val="Times New Roman"/>
        <family val="1"/>
      </rPr>
      <t>Cash Received from Interest, Fees, and Commissions on Loan Portfolio</t>
    </r>
    <r>
      <rPr>
        <sz val="11"/>
        <rFont val="Times New Roman"/>
        <family val="1"/>
      </rPr>
      <t xml:space="preserve">
Average Gross Loan Portfolio</t>
    </r>
  </si>
  <si>
    <t>P&amp;L line (1.1+1.2)/[Balance sheet line 2.35</t>
  </si>
  <si>
    <t>FS8</t>
  </si>
  <si>
    <t xml:space="preserve">Yield on Investments </t>
  </si>
  <si>
    <r>
      <rPr>
        <u/>
        <sz val="11"/>
        <rFont val="Times New Roman"/>
        <family val="1"/>
      </rPr>
      <t>Cash Received from Interest, Fees, and Commissions on Investments</t>
    </r>
    <r>
      <rPr>
        <sz val="11"/>
        <rFont val="Times New Roman"/>
        <family val="1"/>
      </rPr>
      <t xml:space="preserve">
Average Investments</t>
    </r>
  </si>
  <si>
    <t>P&amp;L line (1.3+1.4)/Balance sheet line2.37</t>
  </si>
  <si>
    <t>FS10</t>
  </si>
  <si>
    <t>Cost of Funds Ratio*</t>
  </si>
  <si>
    <t>Financial Expenses on Funding Liabilities/Average Deposit + Average Borrowings)</t>
  </si>
  <si>
    <t>(P&amp;L line 1.12- P&amp;L 1.11 )/ (Balance sheet line 2.38 +2.39)</t>
  </si>
  <si>
    <t>FS11</t>
  </si>
  <si>
    <t>Liquid Ratio</t>
  </si>
  <si>
    <t>(Cash +Trade Investments)/Security Deposit +Short-term Borrowings+Interest Payable on Funding Liabilities +Accounts Payable and Other Short-term Liabilities</t>
  </si>
  <si>
    <t>Balance sheet line (2.1+2.2+2.3) / Balance sheet line (2.13+2.14+2.17+2.18)</t>
  </si>
  <si>
    <t>FS12</t>
  </si>
  <si>
    <t>Uncovered Capital Ratio (portfolio Quality &amp; Vulnerability)</t>
  </si>
  <si>
    <r>
      <rPr>
        <u/>
        <sz val="11"/>
        <rFont val="Times New Roman"/>
        <family val="1"/>
      </rPr>
      <t>PAR&gt;30 - impairment Allowance</t>
    </r>
    <r>
      <rPr>
        <sz val="11"/>
        <rFont val="Times New Roman"/>
        <family val="1"/>
      </rPr>
      <t xml:space="preserve">
 Total Equity</t>
    </r>
  </si>
  <si>
    <t>[Portfolio report line 3.22 column E - Balance Sheet line 2.5]  / Balance sheet line2.27</t>
  </si>
  <si>
    <t xml:space="preserve">EFFICIENCY </t>
  </si>
  <si>
    <t>E1</t>
  </si>
  <si>
    <t>Operating Expenses Ratio</t>
  </si>
  <si>
    <r>
      <rPr>
        <u/>
        <sz val="11"/>
        <rFont val="Times New Roman"/>
        <family val="1"/>
      </rPr>
      <t>Operating Expense</t>
    </r>
    <r>
      <rPr>
        <sz val="11"/>
        <rFont val="Times New Roman"/>
        <family val="1"/>
      </rPr>
      <t xml:space="preserve">
Average Gross Loan Portfolio</t>
    </r>
  </si>
  <si>
    <t xml:space="preserve">P&amp;L line 1.19/Balance sheet line 2.35 </t>
  </si>
  <si>
    <t>E2</t>
  </si>
  <si>
    <t>Personnel Expense Ratio</t>
  </si>
  <si>
    <t>Personnel Expense
Average Gross Loan Portfolio</t>
  </si>
  <si>
    <t xml:space="preserve">P&amp;L line 1.16/Balance sheet line 2.35 </t>
  </si>
  <si>
    <t>E3</t>
  </si>
  <si>
    <t xml:space="preserve">Administrative Expense Ratio </t>
  </si>
  <si>
    <r>
      <rPr>
        <u/>
        <sz val="11"/>
        <rFont val="Times New Roman"/>
        <family val="1"/>
      </rPr>
      <t>Administrative Expense</t>
    </r>
    <r>
      <rPr>
        <sz val="11"/>
        <rFont val="Times New Roman"/>
        <family val="1"/>
      </rPr>
      <t xml:space="preserve">
Average Gross Loan Portfolio</t>
    </r>
  </si>
  <si>
    <t>P&amp;L line (1.17+1.18)/ Balance sheet line 2.35</t>
  </si>
  <si>
    <t>E4</t>
  </si>
  <si>
    <t>Cost Income Ratio</t>
  </si>
  <si>
    <r>
      <rPr>
        <u/>
        <sz val="11"/>
        <rFont val="Times New Roman"/>
        <family val="1"/>
      </rPr>
      <t>Operating Expense</t>
    </r>
    <r>
      <rPr>
        <sz val="11"/>
        <rFont val="Times New Roman"/>
        <family val="1"/>
      </rPr>
      <t xml:space="preserve">
Total Revenue</t>
    </r>
  </si>
  <si>
    <t>P&amp;L line 1.19/ (P&amp;L line 1.6+ P &amp; L line 2.1)</t>
  </si>
  <si>
    <t>E5</t>
  </si>
  <si>
    <t>Cost per Borrower</t>
  </si>
  <si>
    <r>
      <rPr>
        <u/>
        <sz val="11"/>
        <rFont val="Times New Roman"/>
        <family val="1"/>
      </rPr>
      <t>Operating expense</t>
    </r>
    <r>
      <rPr>
        <sz val="11"/>
        <rFont val="Times New Roman"/>
        <family val="1"/>
      </rPr>
      <t xml:space="preserve">
Average number of active borrowers
</t>
    </r>
  </si>
  <si>
    <t xml:space="preserve">P&amp;L line 1.19/Balance sheet line 2.40 </t>
  </si>
  <si>
    <t>PRODUCTIVITY</t>
  </si>
  <si>
    <t>P1</t>
  </si>
  <si>
    <t>Borrowers per Loans Officer</t>
  </si>
  <si>
    <r>
      <t xml:space="preserve">Number of active borrowers
</t>
    </r>
    <r>
      <rPr>
        <sz val="11"/>
        <rFont val="Times New Roman"/>
        <family val="1"/>
      </rPr>
      <t>Number of loan officers</t>
    </r>
  </si>
  <si>
    <t>outreach &amp; social performance line 5.7/ outreach &amp; social performance line 5.18</t>
  </si>
  <si>
    <t>P2</t>
  </si>
  <si>
    <t>Borrowers per Staff</t>
  </si>
  <si>
    <r>
      <t xml:space="preserve">Number of active borrowers
</t>
    </r>
    <r>
      <rPr>
        <sz val="11"/>
        <rFont val="Times New Roman"/>
        <family val="1"/>
      </rPr>
      <t>Number of staff</t>
    </r>
  </si>
  <si>
    <t>outreach &amp; social performance line 5.7/ outreach &amp; social performance line 5.17</t>
  </si>
  <si>
    <t>P3</t>
  </si>
  <si>
    <t>Personnel Allocation (loan officers as a share of total staff)</t>
  </si>
  <si>
    <r>
      <t xml:space="preserve">Number of loan officers
</t>
    </r>
    <r>
      <rPr>
        <sz val="11"/>
        <rFont val="Times New Roman"/>
        <family val="1"/>
      </rPr>
      <t>Total Number of staff</t>
    </r>
  </si>
  <si>
    <t>outreach &amp; social performance line 5.18 /outreach &amp; social performance line 5.17</t>
  </si>
  <si>
    <t>PORTFOLIO QUALITY</t>
  </si>
  <si>
    <t>PQ1</t>
  </si>
  <si>
    <t>Gross  Loan Portfolio</t>
  </si>
  <si>
    <t>Sum of Principal Outstanding of All Loans</t>
  </si>
  <si>
    <t>Balance sheet line 2.4</t>
  </si>
  <si>
    <t>PQ2</t>
  </si>
  <si>
    <t>Portfolio at Risk &gt; 30 days.</t>
  </si>
  <si>
    <r>
      <rPr>
        <u/>
        <sz val="11"/>
        <rFont val="Times New Roman"/>
        <family val="1"/>
      </rPr>
      <t>Value of all Loans with Payments Past Due &gt;30 days + Rescheduled Loans</t>
    </r>
    <r>
      <rPr>
        <sz val="11"/>
        <rFont val="Times New Roman"/>
        <family val="1"/>
      </rPr>
      <t xml:space="preserve">
Total Gross Outstanding Loan Portfolio </t>
    </r>
  </si>
  <si>
    <t>Portfolio report line 3.22 column E/ Balance sheet line 2.4</t>
  </si>
  <si>
    <t>PQ3</t>
  </si>
  <si>
    <t>PAR&gt; 30 days to Equity</t>
  </si>
  <si>
    <t>Portfolio at Risk&gt;30 days
Equity (Capital +Reserves)</t>
  </si>
  <si>
    <t>Portfolio report line 3.22column E/ Balance sheet line 2.27</t>
  </si>
  <si>
    <t>PQ4</t>
  </si>
  <si>
    <t xml:space="preserve">Write-off ratio </t>
  </si>
  <si>
    <r>
      <t xml:space="preserve">Value of Loans Written Off
</t>
    </r>
    <r>
      <rPr>
        <sz val="11"/>
        <rFont val="Times New Roman"/>
        <family val="1"/>
      </rPr>
      <t>Average Gross Loan Portfolio</t>
    </r>
  </si>
  <si>
    <t xml:space="preserve">Portfolio report line 3.3 column E/Balance sheet line 2.35 </t>
  </si>
  <si>
    <t>PQ5</t>
  </si>
  <si>
    <t>Risk Coverage</t>
  </si>
  <si>
    <r>
      <rPr>
        <u/>
        <sz val="11"/>
        <rFont val="Times New Roman"/>
        <family val="1"/>
      </rPr>
      <t>Net Profit__</t>
    </r>
    <r>
      <rPr>
        <sz val="11"/>
        <rFont val="Times New Roman"/>
        <family val="1"/>
      </rPr>
      <t>___
Value of all loans with Payment past due  &gt; 30 days + Value of rescheduled loans</t>
    </r>
  </si>
  <si>
    <t>P &amp; L line 1.23/ Portfolio report line 3.22 column E</t>
  </si>
  <si>
    <t>PQ6</t>
  </si>
  <si>
    <t>Value of loans written off during the Period</t>
  </si>
  <si>
    <t>Portfolio report line 3.3 column E</t>
  </si>
  <si>
    <t>PQ7</t>
  </si>
  <si>
    <t>Loan Loss Provision Expense Ratio</t>
  </si>
  <si>
    <r>
      <rPr>
        <u/>
        <sz val="11"/>
        <rFont val="Times New Roman"/>
        <family val="1"/>
      </rPr>
      <t>Loan Loss Provisioning Expenses</t>
    </r>
    <r>
      <rPr>
        <sz val="11"/>
        <rFont val="Times New Roman"/>
        <family val="1"/>
      </rPr>
      <t xml:space="preserve">
 Period Average Gross Portfolio</t>
    </r>
  </si>
  <si>
    <t xml:space="preserve">P &amp; L line 1.14/ Balance sheet line 2.35 </t>
  </si>
  <si>
    <t>OUTREACH</t>
  </si>
  <si>
    <t>O1</t>
  </si>
  <si>
    <t xml:space="preserve">Number of Clients </t>
  </si>
  <si>
    <t>Outreach &amp; Social Performance line 5.5</t>
  </si>
  <si>
    <t>O5</t>
  </si>
  <si>
    <t>Number of  Active Borrowers</t>
  </si>
  <si>
    <t>The number of individuals who  have an outstanding loan balance with the MFI during the reporting period</t>
  </si>
  <si>
    <t>Outreach &amp; Social Performance line 5.7</t>
  </si>
  <si>
    <t>O6</t>
  </si>
  <si>
    <t>Ratio of Women borrowers to  total Borrowers</t>
  </si>
  <si>
    <r>
      <t xml:space="preserve">Number of Women Borrowers
</t>
    </r>
    <r>
      <rPr>
        <sz val="11"/>
        <rFont val="Times New Roman"/>
        <family val="1"/>
      </rPr>
      <t>Total Number of Borrowers</t>
    </r>
  </si>
  <si>
    <t>Outreach &amp; Social Performance line 5.8/ Outreach &amp; Social Performance line 5.7</t>
  </si>
  <si>
    <t>O7</t>
  </si>
  <si>
    <t xml:space="preserve">Average Outstanding Loan Size </t>
  </si>
  <si>
    <r>
      <t xml:space="preserve">Gross Loan Portfolio
</t>
    </r>
    <r>
      <rPr>
        <sz val="11"/>
        <rFont val="Times New Roman"/>
        <family val="1"/>
      </rPr>
      <t>Number of Loans Outstanding</t>
    </r>
  </si>
  <si>
    <t>Balance Sheet line 2.4/ Portfolio report line 3.2 column D</t>
  </si>
  <si>
    <t>O8</t>
  </si>
  <si>
    <t>% of loan Portfolio for Agric.</t>
  </si>
  <si>
    <t>Percentage of the total loan portfolio allocation that went in to support the funding of Agric/Agric related activity</t>
  </si>
  <si>
    <t>[Portfolio report line 4.1 (column E)]/[Balance sheet line 2.4]</t>
  </si>
  <si>
    <t>O9</t>
  </si>
  <si>
    <t>% of loans Portfolio to youth (18-35 years)</t>
  </si>
  <si>
    <t>Percentage of the loan portfolio that was granted to clients aged between 18 and 35 years</t>
  </si>
  <si>
    <t>[Outreach &amp; Social Performance line 5.29]/ [Balance sheet line 2.4]</t>
  </si>
  <si>
    <t>O10</t>
  </si>
  <si>
    <t>Number of youth with loans (18-35 years)</t>
  </si>
  <si>
    <t>Number of borrowers aged between 18 and 35</t>
  </si>
  <si>
    <t>Outreach &amp; Social Performance line 5.28</t>
  </si>
  <si>
    <t>SOCIAL PERFORMANCE DATA </t>
  </si>
  <si>
    <t>SP1</t>
  </si>
  <si>
    <t>Outreach &amp; Social Performance line 5.1</t>
  </si>
  <si>
    <t>SP2</t>
  </si>
  <si>
    <t>Outreach &amp; Social Performance line 5.2</t>
  </si>
  <si>
    <t>SP3</t>
  </si>
  <si>
    <t>Outreach &amp; Social Performance line 5.3</t>
  </si>
  <si>
    <t>SP4</t>
  </si>
  <si>
    <t>Outreach &amp; Social Performance line 5.4</t>
  </si>
  <si>
    <t>SP5</t>
  </si>
  <si>
    <t>Number of Active Clients </t>
  </si>
  <si>
    <t>SP6</t>
  </si>
  <si>
    <t>Number of female Active Clients</t>
  </si>
  <si>
    <t>Outreach &amp; Social Performance line 5.6</t>
  </si>
  <si>
    <t>SP7</t>
  </si>
  <si>
    <t>Refers to the number of borrowers with one or more loan in force that have neither been fully repaid nor written-off. Borrowers, who have repaid their loan in full, are not considered in this number.</t>
  </si>
  <si>
    <t>SP8</t>
  </si>
  <si>
    <r>
      <t xml:space="preserve">Refers to the number of </t>
    </r>
    <r>
      <rPr>
        <b/>
        <sz val="11"/>
        <rFont val="Times New Roman"/>
        <family val="1"/>
      </rPr>
      <t>female borrowers</t>
    </r>
    <r>
      <rPr>
        <sz val="11"/>
        <rFont val="Times New Roman"/>
        <family val="1"/>
      </rPr>
      <t xml:space="preserve"> with one or more loan in force that have neither been fully repaid nor written-off. </t>
    </r>
    <r>
      <rPr>
        <b/>
        <sz val="11"/>
        <rFont val="Times New Roman"/>
        <family val="1"/>
      </rPr>
      <t>Female borrowers</t>
    </r>
    <r>
      <rPr>
        <sz val="11"/>
        <rFont val="Times New Roman"/>
        <family val="1"/>
      </rPr>
      <t>, who have repaid their loan in full, are not considered in this number.</t>
    </r>
  </si>
  <si>
    <t>Outreach &amp; Social Performance line 5.8</t>
  </si>
  <si>
    <t>SP9</t>
  </si>
  <si>
    <t>Value of compulsory savings</t>
  </si>
  <si>
    <t>Balance Sheet line 2.13</t>
  </si>
  <si>
    <t>SP11</t>
  </si>
  <si>
    <t>Outreach &amp; Social Performance line 5.27</t>
  </si>
  <si>
    <t>SP12</t>
  </si>
  <si>
    <t>Number of start -up businesses supported with credit</t>
  </si>
  <si>
    <t>Outreach &amp; Social Performance line 5.26</t>
  </si>
  <si>
    <t>SP13</t>
  </si>
  <si>
    <t>Number of Staff</t>
  </si>
  <si>
    <t>Total Number of staff within the institution</t>
  </si>
  <si>
    <t>Outreach &amp; Social Performance line 5.16</t>
  </si>
  <si>
    <t>SP14</t>
  </si>
  <si>
    <t>Outreach &amp; Social Performance line 5.18</t>
  </si>
  <si>
    <t>SP15</t>
  </si>
  <si>
    <t>Outreach &amp; Social Performance line 5.19</t>
  </si>
  <si>
    <t>SP16</t>
  </si>
  <si>
    <t>Outreach &amp; Social Performance line 5.20</t>
  </si>
  <si>
    <t>G1</t>
  </si>
  <si>
    <t>Outreach &amp; Social Performance line 5.21</t>
  </si>
  <si>
    <t>G2</t>
  </si>
  <si>
    <t>Outreach &amp; Social Performance line 5.22</t>
  </si>
  <si>
    <t>G3</t>
  </si>
  <si>
    <t>Outreach &amp; Social Performance line 5.23</t>
  </si>
  <si>
    <t>G4</t>
  </si>
  <si>
    <t>Outreach &amp; Social Performance line 5.24</t>
  </si>
  <si>
    <t>G5</t>
  </si>
  <si>
    <t>Outreach &amp; Social Performance line 5.25</t>
  </si>
  <si>
    <t>Errors</t>
  </si>
  <si>
    <r>
      <t>Please select 'Report Code' from the drop down list in the first ('P&amp;L') sheet and they will be populated on the other sheets. Report Code</t>
    </r>
    <r>
      <rPr>
        <b/>
        <i/>
        <sz val="11"/>
        <color theme="1"/>
        <rFont val="Calibri"/>
        <family val="2"/>
        <scheme val="minor"/>
      </rPr>
      <t xml:space="preserve">'MLAG-PR-UA' </t>
    </r>
    <r>
      <rPr>
        <sz val="11"/>
        <color theme="1"/>
        <rFont val="Calibri"/>
        <family val="2"/>
        <scheme val="minor"/>
      </rPr>
      <t>is to be selected for unaudited (UA) performance report (PR), which are currently expected to have quarterly reporting frequency. Report code '</t>
    </r>
    <r>
      <rPr>
        <b/>
        <i/>
        <sz val="11"/>
        <color theme="1"/>
        <rFont val="Calibri"/>
        <family val="2"/>
        <scheme val="minor"/>
      </rPr>
      <t xml:space="preserve">MLAG-PR-A' </t>
    </r>
    <r>
      <rPr>
        <sz val="11"/>
        <color theme="1"/>
        <rFont val="Calibri"/>
        <family val="2"/>
        <scheme val="minor"/>
      </rPr>
      <t>is for reports that are based on audited figures and these are expected to be submitted annually. 
Also, please provide the other head information on the first ('P&amp;L') sheet and they will be populated on the other sheets.</t>
    </r>
  </si>
  <si>
    <r>
      <rPr>
        <b/>
        <i/>
        <sz val="11"/>
        <color theme="1"/>
        <rFont val="Calibri"/>
        <family val="2"/>
        <scheme val="minor"/>
      </rPr>
      <t>Reporting date</t>
    </r>
    <r>
      <rPr>
        <i/>
        <sz val="11"/>
        <color theme="1"/>
        <rFont val="Calibri"/>
        <family val="2"/>
        <scheme val="minor"/>
      </rPr>
      <t xml:space="preserve">: enter as </t>
    </r>
    <r>
      <rPr>
        <b/>
        <i/>
        <sz val="11"/>
        <color theme="1"/>
        <rFont val="Calibri"/>
        <family val="2"/>
        <scheme val="minor"/>
      </rPr>
      <t xml:space="preserve">Month and year </t>
    </r>
    <r>
      <rPr>
        <i/>
        <sz val="11"/>
        <color theme="1"/>
        <rFont val="Calibri"/>
        <family val="2"/>
        <scheme val="minor"/>
      </rPr>
      <t>ending</t>
    </r>
    <r>
      <rPr>
        <b/>
        <i/>
        <sz val="11"/>
        <color theme="1"/>
        <rFont val="Calibri"/>
        <family val="2"/>
        <scheme val="minor"/>
      </rPr>
      <t xml:space="preserve"> the reporting period (e.g 12/2014  </t>
    </r>
    <r>
      <rPr>
        <i/>
        <sz val="11"/>
        <color theme="1"/>
        <rFont val="Calibri"/>
        <family val="2"/>
        <scheme val="minor"/>
      </rPr>
      <t>for quarter ending</t>
    </r>
    <r>
      <rPr>
        <b/>
        <i/>
        <sz val="11"/>
        <color theme="1"/>
        <rFont val="Calibri"/>
        <family val="2"/>
        <scheme val="minor"/>
      </rPr>
      <t xml:space="preserve"> December 2014)</t>
    </r>
  </si>
  <si>
    <t>Error Count Dashboard</t>
  </si>
  <si>
    <t>Profit &amp; Loss Statement</t>
  </si>
  <si>
    <t>Balance Sheet</t>
  </si>
  <si>
    <t>Portfolio Report</t>
  </si>
  <si>
    <t>Outreach &amp; Social Performance</t>
  </si>
  <si>
    <t xml:space="preserve">Regional Breakdown </t>
  </si>
  <si>
    <t>Ratios</t>
  </si>
  <si>
    <t>MICRO – CREDIT ASSOCIATION GHANA</t>
  </si>
  <si>
    <r>
      <t xml:space="preserve">Gross Loan Portfolio  in the Balance Sheet must be equal to the Gross Loans Outstanding in the Portfolio Report, otherwise </t>
    </r>
    <r>
      <rPr>
        <b/>
        <i/>
        <sz val="11"/>
        <color rgb="FFFF0000"/>
        <rFont val="Calibri"/>
        <family val="2"/>
        <scheme val="minor"/>
      </rPr>
      <t>"Error"</t>
    </r>
    <r>
      <rPr>
        <i/>
        <sz val="11"/>
        <color theme="1"/>
        <rFont val="Calibri"/>
        <family val="2"/>
        <scheme val="minor"/>
      </rPr>
      <t xml:space="preserve"> is indicated and correction is required.</t>
    </r>
  </si>
  <si>
    <t>NOTES</t>
  </si>
  <si>
    <t>The above shows the total number of errors in your quarterly prudential report.</t>
  </si>
  <si>
    <t>The total number of Errors next to each line item should be zero (0)</t>
  </si>
  <si>
    <t>Please ensure you submit the return to the Association only when number of errors is 0, otherwise it will be rejected by the system</t>
  </si>
  <si>
    <t>Error Description</t>
  </si>
  <si>
    <t>Unique Code for File</t>
  </si>
  <si>
    <t>Version Number</t>
  </si>
  <si>
    <t>Doc Version</t>
  </si>
  <si>
    <t>Breakdown of loans to the Agric/Fishing/Forestry Industry</t>
  </si>
  <si>
    <t>Breakdown of loans to the Manufacturing Industry</t>
  </si>
  <si>
    <t>Breakdown of loans for Trading</t>
  </si>
  <si>
    <t>Breakdown of loans to the Education Industry</t>
  </si>
  <si>
    <t>Breakdown of loans to Churches and Religious groups</t>
  </si>
  <si>
    <t>Breakdown of loans to the Transport Industry</t>
  </si>
  <si>
    <t>Breakdown of loans to Services Industry</t>
  </si>
  <si>
    <t>Breakdown of loans to household consumption</t>
  </si>
  <si>
    <t>Breakdown of loans for housing or home improvement</t>
  </si>
  <si>
    <t>Breakdown of loans for funerals or festive occasions</t>
  </si>
  <si>
    <t>Breakdown of loans to the mining and quarrying Industry</t>
  </si>
  <si>
    <t>Breakdown of loans for Construction</t>
  </si>
  <si>
    <t>Breakdown of loans for other reasons</t>
  </si>
  <si>
    <t>Breakdown of loans to the Agric / Fishing/Forestry Industry</t>
  </si>
  <si>
    <t>Details about Staff</t>
  </si>
  <si>
    <t>Details about Management Staff</t>
  </si>
  <si>
    <t>Support to Start-ups, Youth and Disabled</t>
  </si>
  <si>
    <t>DETAILS ABOUT STAFF &amp; MANAGEMENT</t>
  </si>
  <si>
    <t>Total Number of new registered clients</t>
  </si>
  <si>
    <t>Total Number of new female clients</t>
  </si>
  <si>
    <t>Total Number of new borrowers</t>
  </si>
  <si>
    <t>Total Number of new female borrowers</t>
  </si>
  <si>
    <t>Total Number of Active Clients</t>
  </si>
  <si>
    <t>Total Number of Female Active Clients</t>
  </si>
  <si>
    <t>Q1</t>
  </si>
  <si>
    <t>Q2</t>
  </si>
  <si>
    <t>Q3</t>
  </si>
  <si>
    <t>Q4</t>
  </si>
  <si>
    <t>Year</t>
  </si>
  <si>
    <t>Quarter</t>
  </si>
  <si>
    <t>REPORTING QUARTER</t>
  </si>
  <si>
    <t>Cover Sheet</t>
  </si>
  <si>
    <t>Drawings</t>
  </si>
  <si>
    <t xml:space="preserve">MCAG-PR-UA </t>
  </si>
  <si>
    <t>(Sum of lines 2.21 to 2.27)</t>
  </si>
  <si>
    <t>(Line 2.20 + 2.28)</t>
  </si>
  <si>
    <t>2.30</t>
  </si>
  <si>
    <t>REGION</t>
  </si>
  <si>
    <t>Ahafo-AF</t>
  </si>
  <si>
    <t>Bono-BN</t>
  </si>
  <si>
    <t>Bono East-BE</t>
  </si>
  <si>
    <t>Central-CR</t>
  </si>
  <si>
    <t>Eastern-ER</t>
  </si>
  <si>
    <t>Greater Accra-GA</t>
  </si>
  <si>
    <t>North East-NE</t>
  </si>
  <si>
    <t>Northern-NR</t>
  </si>
  <si>
    <t>Oti-OT</t>
  </si>
  <si>
    <t>Savannah-SV</t>
  </si>
  <si>
    <t>Upper East-UE</t>
  </si>
  <si>
    <t>Upper West-UW</t>
  </si>
  <si>
    <t>Volta-VR</t>
  </si>
  <si>
    <t>Western-WR</t>
  </si>
  <si>
    <t>Western North-WN</t>
  </si>
  <si>
    <t>ALL REGIONS</t>
  </si>
  <si>
    <t>Ashanti-AS</t>
  </si>
  <si>
    <r>
      <t xml:space="preserve">The value of cash withdrawals taken out of the business by propritors/Proprietries. </t>
    </r>
    <r>
      <rPr>
        <i/>
        <sz val="11"/>
        <color rgb="FFFF0000"/>
        <rFont val="Times New Roman"/>
        <family val="1"/>
      </rPr>
      <t>(This figure should be negative)</t>
    </r>
  </si>
  <si>
    <t>Number of Advisory committee members</t>
  </si>
  <si>
    <t>Number of Advisory committee meetings held during the period</t>
  </si>
  <si>
    <t>Income Surplus (Prior Period)</t>
  </si>
  <si>
    <t>Current Period P&amp; L</t>
  </si>
  <si>
    <t>MCAG-8-R-RB-OSP-PR-BS-PLS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</si>
</sst>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mmmm\ yyyy"/>
    <numFmt numFmtId="167" formatCode="_(* #,##0_);_(* \(#,##0\);_(* &quot;-&quot;??_);_(@_)"/>
    <numFmt numFmtId="168" formatCode="0.0%"/>
  </numFmts>
  <fonts count="7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u/>
      <sz val="12"/>
      <color theme="1"/>
      <name val="Calibri"/>
      <family val="2"/>
      <scheme val="minor"/>
    </font>
    <font>
      <i/>
      <sz val="11"/>
      <color theme="1"/>
      <name val="Calibri"/>
      <family val="2"/>
      <scheme val="minor"/>
    </font>
    <font>
      <b/>
      <i/>
      <sz val="11"/>
      <color theme="1"/>
      <name val="Calibri"/>
      <family val="2"/>
      <scheme val="minor"/>
    </font>
    <font>
      <b/>
      <i/>
      <sz val="11"/>
      <color rgb="FFFF0000"/>
      <name val="Calibri"/>
      <family val="2"/>
      <scheme val="minor"/>
    </font>
    <font>
      <b/>
      <sz val="14"/>
      <color indexed="8"/>
      <name val="Calibri"/>
      <family val="2"/>
    </font>
    <font>
      <b/>
      <sz val="11"/>
      <color indexed="8"/>
      <name val="Calibri"/>
      <family val="2"/>
    </font>
    <font>
      <sz val="12"/>
      <color indexed="8"/>
      <name val="Times New Roman"/>
      <family val="1"/>
    </font>
    <font>
      <sz val="12"/>
      <color theme="1"/>
      <name val="Calibri"/>
      <family val="2"/>
      <scheme val="minor"/>
    </font>
    <font>
      <i/>
      <sz val="11"/>
      <color indexed="8"/>
      <name val="Calibri"/>
      <family val="2"/>
    </font>
    <font>
      <sz val="12"/>
      <color indexed="8"/>
      <name val="Calibri"/>
      <family val="2"/>
    </font>
    <font>
      <sz val="10"/>
      <name val="Arial"/>
      <family val="2"/>
    </font>
    <font>
      <b/>
      <sz val="12"/>
      <name val="Times New Roman"/>
      <family val="1"/>
    </font>
    <font>
      <b/>
      <sz val="12"/>
      <color indexed="8"/>
      <name val="Calibri"/>
      <family val="2"/>
    </font>
    <font>
      <b/>
      <i/>
      <sz val="10"/>
      <color theme="1"/>
      <name val="Times New Roman"/>
      <family val="1"/>
    </font>
    <font>
      <b/>
      <sz val="12"/>
      <color indexed="8"/>
      <name val="Times New Roman"/>
      <family val="1"/>
    </font>
    <font>
      <b/>
      <sz val="12"/>
      <color indexed="10"/>
      <name val="Times New Roman"/>
      <family val="1"/>
    </font>
    <font>
      <b/>
      <sz val="12"/>
      <color indexed="10"/>
      <name val="Calibri"/>
      <family val="2"/>
    </font>
    <font>
      <b/>
      <i/>
      <sz val="11"/>
      <color indexed="8"/>
      <name val="Times New Roman"/>
      <family val="1"/>
    </font>
    <font>
      <sz val="12"/>
      <name val="Times New Roman"/>
      <family val="1"/>
    </font>
    <font>
      <i/>
      <sz val="10"/>
      <color theme="1"/>
      <name val="Times New Roman"/>
      <family val="1"/>
    </font>
    <font>
      <sz val="12"/>
      <color theme="1"/>
      <name val="Times New Roman"/>
      <family val="1"/>
    </font>
    <font>
      <i/>
      <sz val="10"/>
      <name val="Arial"/>
      <family val="2"/>
    </font>
    <font>
      <b/>
      <i/>
      <sz val="12"/>
      <name val="Times New Roman"/>
      <family val="1"/>
    </font>
    <font>
      <b/>
      <i/>
      <sz val="11"/>
      <name val="Times New Roman"/>
      <family val="1"/>
    </font>
    <font>
      <i/>
      <sz val="11"/>
      <name val="Times New Roman"/>
      <family val="1"/>
    </font>
    <font>
      <i/>
      <sz val="11"/>
      <color rgb="FFFF0000"/>
      <name val="Times New Roman"/>
      <family val="1"/>
    </font>
    <font>
      <sz val="11"/>
      <name val="Arial"/>
      <family val="2"/>
    </font>
    <font>
      <b/>
      <i/>
      <sz val="12"/>
      <color rgb="FF0070C0"/>
      <name val="Times New Roman"/>
      <family val="1"/>
    </font>
    <font>
      <b/>
      <sz val="12"/>
      <color theme="1"/>
      <name val="Times New Roman"/>
      <family val="1"/>
    </font>
    <font>
      <i/>
      <sz val="10"/>
      <name val="Times New Roman"/>
      <family val="1"/>
    </font>
    <font>
      <b/>
      <i/>
      <sz val="10"/>
      <name val="Times New Roman"/>
      <family val="1"/>
    </font>
    <font>
      <b/>
      <sz val="11"/>
      <name val="Calibri"/>
      <family val="2"/>
    </font>
    <font>
      <b/>
      <sz val="14"/>
      <color indexed="8"/>
      <name val="Times New Roman"/>
      <family val="1"/>
    </font>
    <font>
      <b/>
      <i/>
      <sz val="12"/>
      <color rgb="FFFF0000"/>
      <name val="Times New Roman"/>
      <family val="1"/>
    </font>
    <font>
      <i/>
      <sz val="11"/>
      <color indexed="8"/>
      <name val="Times New Roman"/>
      <family val="1"/>
    </font>
    <font>
      <i/>
      <sz val="12"/>
      <name val="Times New Roman"/>
      <family val="1"/>
    </font>
    <font>
      <sz val="11"/>
      <color theme="1"/>
      <name val="Times New Roman"/>
      <family val="1"/>
    </font>
    <font>
      <b/>
      <sz val="11"/>
      <name val="Times New Roman"/>
      <family val="1"/>
    </font>
    <font>
      <b/>
      <sz val="12"/>
      <name val="Arial"/>
      <family val="2"/>
    </font>
    <font>
      <i/>
      <sz val="12"/>
      <color rgb="FF0070C0"/>
      <name val="Times New Roman"/>
      <family val="1"/>
    </font>
    <font>
      <sz val="10"/>
      <color theme="1"/>
      <name val="Times New Roman"/>
      <family val="1"/>
    </font>
    <font>
      <i/>
      <u/>
      <sz val="10"/>
      <name val="Times New Roman"/>
      <family val="1"/>
    </font>
    <font>
      <b/>
      <sz val="11"/>
      <color indexed="8"/>
      <name val="Times New Roman"/>
      <family val="1"/>
    </font>
    <font>
      <i/>
      <sz val="10"/>
      <color indexed="8"/>
      <name val="Times New Roman"/>
      <family val="1"/>
    </font>
    <font>
      <b/>
      <i/>
      <sz val="10"/>
      <color indexed="8"/>
      <name val="Times New Roman"/>
      <family val="1"/>
    </font>
    <font>
      <b/>
      <sz val="11"/>
      <color theme="1"/>
      <name val="Times New Roman"/>
      <family val="1"/>
    </font>
    <font>
      <b/>
      <sz val="11"/>
      <color rgb="FFFF0000"/>
      <name val="Times New Roman"/>
      <family val="1"/>
    </font>
    <font>
      <b/>
      <i/>
      <sz val="11"/>
      <color theme="1"/>
      <name val="Times New Roman"/>
      <family val="1"/>
    </font>
    <font>
      <sz val="11"/>
      <color rgb="FFFF0000"/>
      <name val="Times New Roman"/>
      <family val="1"/>
    </font>
    <font>
      <b/>
      <i/>
      <sz val="12"/>
      <color theme="1"/>
      <name val="Times New Roman"/>
      <family val="1"/>
    </font>
    <font>
      <b/>
      <sz val="10"/>
      <color theme="1"/>
      <name val="Times New Roman"/>
      <family val="1"/>
    </font>
    <font>
      <i/>
      <sz val="12"/>
      <color theme="1"/>
      <name val="Times New Roman"/>
      <family val="1"/>
    </font>
    <font>
      <u/>
      <sz val="11"/>
      <color theme="1"/>
      <name val="Times New Roman"/>
      <family val="1"/>
    </font>
    <font>
      <sz val="12"/>
      <color rgb="FF000000"/>
      <name val="Times New Roman"/>
      <family val="1"/>
    </font>
    <font>
      <sz val="12.5"/>
      <name val="Times New Roman"/>
      <family val="1"/>
    </font>
    <font>
      <i/>
      <sz val="10"/>
      <color rgb="FF000000"/>
      <name val="Times New Roman"/>
      <family val="1"/>
    </font>
    <font>
      <sz val="11"/>
      <color theme="9" tint="-0.499984740745262"/>
      <name val="Calibri"/>
      <family val="2"/>
      <scheme val="minor"/>
    </font>
    <font>
      <sz val="11"/>
      <name val="Times New Roman"/>
      <family val="1"/>
    </font>
    <font>
      <sz val="11"/>
      <color theme="9" tint="-0.499984740745262"/>
      <name val="Times New Roman"/>
      <family val="1"/>
    </font>
    <font>
      <u/>
      <sz val="11"/>
      <name val="Times New Roman"/>
      <family val="1"/>
    </font>
    <font>
      <b/>
      <u/>
      <sz val="11"/>
      <name val="Times New Roman"/>
      <family val="1"/>
    </font>
    <font>
      <sz val="11"/>
      <name val="Calibri"/>
      <family val="2"/>
      <scheme val="minor"/>
    </font>
    <font>
      <b/>
      <sz val="12"/>
      <color rgb="FFFF0000"/>
      <name val="Times New Roman"/>
      <family val="1"/>
    </font>
    <font>
      <i/>
      <sz val="12"/>
      <color rgb="FFFF0000"/>
      <name val="Times New Roman"/>
      <family val="1"/>
    </font>
    <font>
      <i/>
      <sz val="12"/>
      <color theme="1"/>
      <name val="Calibri"/>
      <family val="2"/>
      <scheme val="minor"/>
    </font>
    <font>
      <i/>
      <sz val="12"/>
      <color rgb="FFFF0000"/>
      <name val="Calibri"/>
      <family val="2"/>
      <scheme val="minor"/>
    </font>
    <font>
      <b/>
      <sz val="12"/>
      <color theme="1"/>
      <name val="Calibri"/>
      <family val="2"/>
      <scheme val="minor"/>
    </font>
    <font>
      <b/>
      <sz val="14"/>
      <color rgb="FFFF0000"/>
      <name val="Calibri"/>
      <family val="2"/>
      <scheme val="minor"/>
    </font>
    <font>
      <sz val="11"/>
      <color indexed="8"/>
      <name val="Calibri"/>
      <family val="2"/>
    </font>
    <font>
      <i/>
      <sz val="11"/>
      <color rgb="FFFF0000"/>
      <name val="Calibri"/>
      <family val="2"/>
      <scheme val="minor"/>
    </font>
    <font>
      <sz val="11"/>
      <color theme="0"/>
      <name val="Times New Roman"/>
      <family val="1"/>
    </font>
    <font>
      <b/>
      <i/>
      <sz val="11"/>
      <color rgb="FFFF0000"/>
      <name val="Times New Roman"/>
      <family val="1"/>
    </font>
  </fonts>
  <fills count="13">
    <fill>
      <patternFill patternType="none"/>
    </fill>
    <fill>
      <patternFill patternType="gray125"/>
    </fill>
    <fill>
      <patternFill patternType="solid">
        <fgColor indexed="26"/>
        <bgColor indexed="64"/>
      </patternFill>
    </fill>
    <fill>
      <patternFill patternType="solid">
        <fgColor indexed="42"/>
        <bgColor indexed="64"/>
      </patternFill>
    </fill>
    <fill>
      <patternFill patternType="solid">
        <fgColor theme="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bgColor indexed="64"/>
      </patternFill>
    </fill>
    <fill>
      <patternFill patternType="solid">
        <fgColor rgb="FFE2CFF1"/>
        <bgColor indexed="64"/>
      </patternFill>
    </fill>
    <fill>
      <patternFill patternType="solid">
        <fgColor theme="9" tint="0.59999389629810485"/>
        <bgColor indexed="64"/>
      </patternFill>
    </fill>
    <fill>
      <patternFill patternType="solid">
        <fgColor theme="2" tint="-9.9978637043366805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4" fillId="0" borderId="0"/>
    <xf numFmtId="38" fontId="25" fillId="2" borderId="2">
      <alignment vertical="top" wrapText="1"/>
    </xf>
    <xf numFmtId="38" fontId="30" fillId="3" borderId="2">
      <alignment vertical="top" wrapText="1"/>
    </xf>
    <xf numFmtId="38" fontId="14" fillId="2" borderId="2">
      <alignment horizontal="left" vertical="top" wrapText="1" indent="1"/>
    </xf>
    <xf numFmtId="38" fontId="42" fillId="0" borderId="4">
      <alignment vertical="top" wrapText="1"/>
    </xf>
  </cellStyleXfs>
  <cellXfs count="284">
    <xf numFmtId="0" fontId="0" fillId="0" borderId="0" xfId="0"/>
    <xf numFmtId="164" fontId="22" fillId="4" borderId="1" xfId="1" applyFont="1" applyFill="1" applyBorder="1" applyAlignment="1" applyProtection="1">
      <alignment vertical="center" wrapText="1"/>
      <protection locked="0"/>
    </xf>
    <xf numFmtId="0" fontId="22" fillId="4" borderId="3" xfId="0" applyFont="1" applyFill="1" applyBorder="1" applyAlignment="1">
      <alignment vertical="center" wrapText="1"/>
    </xf>
    <xf numFmtId="0" fontId="33" fillId="4" borderId="1" xfId="0" applyFont="1" applyFill="1" applyBorder="1" applyAlignment="1">
      <alignment vertical="center" wrapText="1"/>
    </xf>
    <xf numFmtId="164" fontId="44" fillId="4" borderId="1" xfId="1" applyFont="1" applyFill="1" applyBorder="1" applyAlignment="1" applyProtection="1">
      <alignment vertical="center" wrapText="1"/>
      <protection locked="0"/>
    </xf>
    <xf numFmtId="164" fontId="10" fillId="4" borderId="1" xfId="0" applyNumberFormat="1" applyFont="1" applyFill="1" applyBorder="1" applyAlignment="1" applyProtection="1">
      <alignment vertical="center"/>
      <protection locked="0"/>
    </xf>
    <xf numFmtId="0" fontId="40" fillId="4" borderId="0" xfId="0" quotePrefix="1" applyFont="1" applyFill="1" applyAlignment="1">
      <alignment horizontal="right" vertical="center"/>
    </xf>
    <xf numFmtId="0" fontId="40" fillId="4" borderId="1" xfId="0" quotePrefix="1" applyFont="1" applyFill="1" applyBorder="1" applyAlignment="1">
      <alignment horizontal="right" vertical="center"/>
    </xf>
    <xf numFmtId="167" fontId="10" fillId="4" borderId="1" xfId="1" applyNumberFormat="1" applyFont="1" applyFill="1" applyBorder="1" applyAlignment="1" applyProtection="1">
      <alignment vertical="center"/>
      <protection locked="0"/>
    </xf>
    <xf numFmtId="0" fontId="10" fillId="4" borderId="0" xfId="0" quotePrefix="1" applyFont="1" applyFill="1" applyAlignment="1">
      <alignment horizontal="right" vertical="center"/>
    </xf>
    <xf numFmtId="38" fontId="22" fillId="4" borderId="0" xfId="5" applyFont="1" applyFill="1" applyBorder="1" applyAlignment="1">
      <alignment vertical="center" wrapText="1"/>
    </xf>
    <xf numFmtId="38" fontId="28" fillId="4" borderId="0" xfId="5" applyFont="1" applyFill="1" applyBorder="1" applyAlignment="1">
      <alignment vertical="center" wrapText="1"/>
    </xf>
    <xf numFmtId="164" fontId="10" fillId="4" borderId="0" xfId="0" applyNumberFormat="1" applyFont="1" applyFill="1" applyAlignment="1">
      <alignment vertical="center"/>
    </xf>
    <xf numFmtId="0" fontId="12" fillId="4" borderId="0" xfId="0" applyFont="1" applyFill="1" applyAlignment="1">
      <alignment vertical="center"/>
    </xf>
    <xf numFmtId="0" fontId="10" fillId="4" borderId="0" xfId="0" applyFont="1" applyFill="1" applyAlignment="1">
      <alignment horizontal="right" vertical="center"/>
    </xf>
    <xf numFmtId="0" fontId="11" fillId="4" borderId="0" xfId="0" applyFont="1" applyFill="1" applyAlignment="1">
      <alignment vertical="center"/>
    </xf>
    <xf numFmtId="0" fontId="10" fillId="4" borderId="0" xfId="0" applyFont="1" applyFill="1" applyAlignment="1">
      <alignment vertical="center"/>
    </xf>
    <xf numFmtId="0" fontId="66" fillId="5" borderId="1" xfId="0" applyFont="1" applyFill="1" applyBorder="1" applyAlignment="1">
      <alignment vertical="center"/>
    </xf>
    <xf numFmtId="0" fontId="0" fillId="4" borderId="0" xfId="0" applyFill="1" applyAlignment="1">
      <alignment vertical="center"/>
    </xf>
    <xf numFmtId="0" fontId="9" fillId="4" borderId="0" xfId="0" applyFont="1" applyFill="1" applyAlignment="1">
      <alignment vertical="center"/>
    </xf>
    <xf numFmtId="0" fontId="10" fillId="4" borderId="0" xfId="0" applyFont="1" applyFill="1" applyAlignment="1">
      <alignment horizontal="left" vertical="center"/>
    </xf>
    <xf numFmtId="0" fontId="13" fillId="4" borderId="0" xfId="0" applyFont="1" applyFill="1" applyAlignment="1">
      <alignment vertical="center"/>
    </xf>
    <xf numFmtId="0" fontId="15" fillId="4" borderId="1" xfId="3" applyFont="1" applyFill="1" applyBorder="1" applyAlignment="1">
      <alignment vertical="center"/>
    </xf>
    <xf numFmtId="0" fontId="66" fillId="4" borderId="0" xfId="0" applyFont="1" applyFill="1" applyAlignment="1">
      <alignment vertical="center"/>
    </xf>
    <xf numFmtId="0" fontId="16" fillId="4" borderId="0" xfId="0" applyFont="1" applyFill="1" applyAlignment="1">
      <alignment vertical="center"/>
    </xf>
    <xf numFmtId="0" fontId="19" fillId="4" borderId="0" xfId="0" applyFont="1" applyFill="1" applyAlignment="1">
      <alignment horizontal="left" vertical="center"/>
    </xf>
    <xf numFmtId="0" fontId="20" fillId="4" borderId="0" xfId="0" applyFont="1" applyFill="1" applyAlignment="1">
      <alignment vertical="center"/>
    </xf>
    <xf numFmtId="0" fontId="19" fillId="4" borderId="0" xfId="0" applyFont="1" applyFill="1" applyAlignment="1">
      <alignment vertical="center"/>
    </xf>
    <xf numFmtId="0" fontId="18" fillId="4" borderId="1" xfId="0" applyFont="1" applyFill="1" applyBorder="1" applyAlignment="1">
      <alignment vertical="center"/>
    </xf>
    <xf numFmtId="0" fontId="10" fillId="4" borderId="1" xfId="0" applyFont="1" applyFill="1" applyBorder="1" applyAlignment="1">
      <alignment horizontal="right" vertical="center"/>
    </xf>
    <xf numFmtId="0" fontId="10" fillId="4" borderId="1" xfId="0" quotePrefix="1" applyFont="1" applyFill="1" applyBorder="1" applyAlignment="1">
      <alignment horizontal="right" vertical="center"/>
    </xf>
    <xf numFmtId="164" fontId="22" fillId="4" borderId="1" xfId="1" applyFont="1" applyFill="1" applyBorder="1" applyAlignment="1" applyProtection="1">
      <alignment vertical="center" wrapText="1"/>
    </xf>
    <xf numFmtId="0" fontId="23" fillId="4" borderId="1" xfId="0" applyFont="1" applyFill="1" applyBorder="1" applyAlignment="1">
      <alignment vertical="center" wrapText="1"/>
    </xf>
    <xf numFmtId="164" fontId="10" fillId="4" borderId="1" xfId="1" applyFont="1" applyFill="1" applyBorder="1" applyAlignment="1" applyProtection="1">
      <alignment vertical="center"/>
      <protection locked="0"/>
    </xf>
    <xf numFmtId="0" fontId="24" fillId="4" borderId="1" xfId="0" applyFont="1" applyFill="1" applyBorder="1" applyAlignment="1">
      <alignment vertical="center" wrapText="1"/>
    </xf>
    <xf numFmtId="38" fontId="26" fillId="4" borderId="1" xfId="4" applyFont="1" applyFill="1" applyBorder="1" applyAlignment="1">
      <alignment vertical="center" wrapText="1"/>
    </xf>
    <xf numFmtId="164" fontId="27" fillId="4" borderId="1" xfId="1" applyFont="1" applyFill="1" applyBorder="1" applyAlignment="1" applyProtection="1">
      <alignment vertical="center" wrapText="1"/>
    </xf>
    <xf numFmtId="164" fontId="10" fillId="4" borderId="1" xfId="1" applyFont="1" applyFill="1" applyBorder="1" applyAlignment="1" applyProtection="1">
      <alignment vertical="center"/>
    </xf>
    <xf numFmtId="164" fontId="28" fillId="4" borderId="1" xfId="1" applyFont="1" applyFill="1" applyBorder="1" applyAlignment="1" applyProtection="1">
      <alignment vertical="center" wrapText="1"/>
    </xf>
    <xf numFmtId="164" fontId="0" fillId="4" borderId="1" xfId="1" applyFont="1" applyFill="1" applyBorder="1" applyAlignment="1" applyProtection="1">
      <alignment vertical="center"/>
      <protection locked="0"/>
    </xf>
    <xf numFmtId="164" fontId="22" fillId="4" borderId="1" xfId="1" applyFont="1" applyFill="1" applyBorder="1" applyAlignment="1" applyProtection="1">
      <alignment horizontal="left" vertical="center" wrapText="1"/>
    </xf>
    <xf numFmtId="164" fontId="28" fillId="4" borderId="1" xfId="1" applyFont="1" applyFill="1" applyBorder="1" applyAlignment="1" applyProtection="1">
      <alignment horizontal="left" vertical="center" wrapText="1"/>
    </xf>
    <xf numFmtId="38" fontId="27" fillId="4" borderId="1" xfId="5" applyFont="1" applyFill="1" applyBorder="1" applyAlignment="1">
      <alignment vertical="center" wrapText="1"/>
    </xf>
    <xf numFmtId="38" fontId="28" fillId="4" borderId="1" xfId="6" applyFont="1" applyFill="1" applyBorder="1" applyAlignment="1">
      <alignment horizontal="left" vertical="center" wrapText="1"/>
    </xf>
    <xf numFmtId="38" fontId="27" fillId="4" borderId="1" xfId="6" applyFont="1" applyFill="1" applyBorder="1" applyAlignment="1">
      <alignment horizontal="left" vertical="center" wrapText="1"/>
    </xf>
    <xf numFmtId="38" fontId="31" fillId="4" borderId="1" xfId="4" applyFont="1" applyFill="1" applyBorder="1" applyAlignment="1">
      <alignment vertical="center" wrapText="1"/>
    </xf>
    <xf numFmtId="164" fontId="24" fillId="4" borderId="1" xfId="1" applyFont="1" applyFill="1" applyBorder="1" applyAlignment="1" applyProtection="1">
      <alignment vertical="center" wrapText="1"/>
      <protection locked="0"/>
    </xf>
    <xf numFmtId="0" fontId="35" fillId="4" borderId="0" xfId="0" applyFont="1" applyFill="1" applyAlignment="1">
      <alignment vertical="center"/>
    </xf>
    <xf numFmtId="0" fontId="18" fillId="7" borderId="1" xfId="0" applyFont="1" applyFill="1" applyBorder="1" applyAlignment="1">
      <alignment vertical="center"/>
    </xf>
    <xf numFmtId="0" fontId="21" fillId="7" borderId="1" xfId="0" applyFont="1" applyFill="1" applyBorder="1" applyAlignment="1">
      <alignment vertical="center"/>
    </xf>
    <xf numFmtId="0" fontId="10" fillId="7" borderId="1" xfId="0" applyFont="1" applyFill="1" applyBorder="1" applyAlignment="1">
      <alignment horizontal="right" vertical="center"/>
    </xf>
    <xf numFmtId="0" fontId="21" fillId="7" borderId="1" xfId="0" applyFont="1" applyFill="1" applyBorder="1" applyAlignment="1">
      <alignment horizontal="center" vertical="center"/>
    </xf>
    <xf numFmtId="0" fontId="18" fillId="9" borderId="1" xfId="0" applyFont="1" applyFill="1" applyBorder="1" applyAlignment="1">
      <alignment vertical="center"/>
    </xf>
    <xf numFmtId="0" fontId="21" fillId="9" borderId="1" xfId="0" applyFont="1" applyFill="1" applyBorder="1" applyAlignment="1">
      <alignment vertical="center"/>
    </xf>
    <xf numFmtId="164" fontId="18" fillId="5" borderId="1" xfId="1" applyFont="1" applyFill="1" applyBorder="1" applyAlignment="1" applyProtection="1">
      <alignment vertical="center"/>
    </xf>
    <xf numFmtId="0" fontId="66" fillId="5" borderId="1" xfId="0" applyFont="1" applyFill="1" applyBorder="1" applyAlignment="1">
      <alignment horizontal="center" vertical="center"/>
    </xf>
    <xf numFmtId="0" fontId="37" fillId="5" borderId="1" xfId="0" applyFont="1" applyFill="1" applyBorder="1" applyAlignment="1">
      <alignment vertical="center"/>
    </xf>
    <xf numFmtId="0" fontId="24" fillId="4" borderId="0" xfId="0" applyFont="1" applyFill="1" applyAlignment="1">
      <alignment vertical="center"/>
    </xf>
    <xf numFmtId="0" fontId="38" fillId="4" borderId="0" xfId="0" applyFont="1" applyFill="1" applyAlignment="1">
      <alignment vertical="center"/>
    </xf>
    <xf numFmtId="0" fontId="10" fillId="4" borderId="1" xfId="0" applyFont="1" applyFill="1" applyBorder="1" applyAlignment="1">
      <alignment vertical="center"/>
    </xf>
    <xf numFmtId="0" fontId="18" fillId="4" borderId="0" xfId="0" applyFont="1" applyFill="1" applyAlignment="1">
      <alignment vertical="center"/>
    </xf>
    <xf numFmtId="166" fontId="10" fillId="4" borderId="1" xfId="0" applyNumberFormat="1" applyFont="1" applyFill="1" applyBorder="1" applyAlignment="1">
      <alignment horizontal="left" vertical="center"/>
    </xf>
    <xf numFmtId="38" fontId="39" fillId="4" borderId="1" xfId="4" applyFont="1" applyFill="1" applyBorder="1" applyAlignment="1">
      <alignment vertical="center" wrapText="1"/>
    </xf>
    <xf numFmtId="38" fontId="28" fillId="4" borderId="1" xfId="4" applyFont="1" applyFill="1" applyBorder="1" applyAlignment="1">
      <alignment vertical="center" wrapText="1"/>
    </xf>
    <xf numFmtId="164" fontId="10" fillId="4" borderId="1" xfId="0" applyNumberFormat="1" applyFont="1" applyFill="1" applyBorder="1" applyAlignment="1">
      <alignment vertical="center"/>
    </xf>
    <xf numFmtId="164" fontId="40" fillId="4" borderId="1" xfId="0" applyNumberFormat="1" applyFont="1" applyFill="1" applyBorder="1" applyAlignment="1" applyProtection="1">
      <alignment vertical="center"/>
      <protection locked="0"/>
    </xf>
    <xf numFmtId="38" fontId="22" fillId="4" borderId="1" xfId="7" applyFont="1" applyFill="1" applyBorder="1" applyAlignment="1">
      <alignment vertical="center" wrapText="1"/>
    </xf>
    <xf numFmtId="38" fontId="28" fillId="4" borderId="1" xfId="7" applyFont="1" applyFill="1" applyBorder="1" applyAlignment="1">
      <alignment vertical="center" wrapText="1"/>
    </xf>
    <xf numFmtId="38" fontId="22" fillId="4" borderId="1" xfId="4" applyFont="1" applyFill="1" applyBorder="1" applyAlignment="1">
      <alignment vertical="center" wrapText="1"/>
    </xf>
    <xf numFmtId="0" fontId="2" fillId="4" borderId="0" xfId="0" applyFont="1" applyFill="1" applyAlignment="1">
      <alignment vertical="center"/>
    </xf>
    <xf numFmtId="0" fontId="43" fillId="4" borderId="1" xfId="0" applyFont="1" applyFill="1" applyBorder="1" applyAlignment="1">
      <alignment vertical="center"/>
    </xf>
    <xf numFmtId="0" fontId="38" fillId="4" borderId="1" xfId="0" applyFont="1" applyFill="1" applyBorder="1" applyAlignment="1">
      <alignment vertical="center"/>
    </xf>
    <xf numFmtId="0" fontId="44" fillId="4" borderId="1" xfId="0" applyFont="1" applyFill="1" applyBorder="1" applyAlignment="1">
      <alignment vertical="center" wrapText="1"/>
    </xf>
    <xf numFmtId="164" fontId="40" fillId="4" borderId="1" xfId="1" applyFont="1" applyFill="1" applyBorder="1" applyAlignment="1" applyProtection="1">
      <alignment vertical="center"/>
      <protection locked="0"/>
    </xf>
    <xf numFmtId="0" fontId="40" fillId="4" borderId="1" xfId="0" applyFont="1" applyFill="1" applyBorder="1" applyAlignment="1">
      <alignment horizontal="right" vertical="center"/>
    </xf>
    <xf numFmtId="0" fontId="40" fillId="4" borderId="1" xfId="0" applyFont="1" applyFill="1" applyBorder="1" applyAlignment="1">
      <alignment horizontal="right" vertical="center" wrapText="1"/>
    </xf>
    <xf numFmtId="0" fontId="40" fillId="4" borderId="1" xfId="0" applyFont="1" applyFill="1" applyBorder="1" applyAlignment="1">
      <alignment vertical="center" wrapText="1"/>
    </xf>
    <xf numFmtId="0" fontId="40" fillId="4" borderId="1" xfId="0" applyFont="1" applyFill="1" applyBorder="1" applyAlignment="1" applyProtection="1">
      <alignment vertical="center" wrapText="1"/>
      <protection locked="0"/>
    </xf>
    <xf numFmtId="2" fontId="40" fillId="4" borderId="1" xfId="0" applyNumberFormat="1" applyFont="1" applyFill="1" applyBorder="1" applyAlignment="1">
      <alignment horizontal="right" vertical="center" wrapText="1"/>
    </xf>
    <xf numFmtId="164" fontId="10" fillId="5" borderId="1" xfId="0" applyNumberFormat="1" applyFont="1" applyFill="1" applyBorder="1" applyAlignment="1">
      <alignment vertical="center"/>
    </xf>
    <xf numFmtId="164" fontId="18" fillId="5" borderId="1" xfId="0" applyNumberFormat="1" applyFont="1" applyFill="1" applyBorder="1" applyAlignment="1">
      <alignment vertical="center"/>
    </xf>
    <xf numFmtId="164" fontId="40" fillId="5" borderId="1" xfId="0" applyNumberFormat="1" applyFont="1" applyFill="1" applyBorder="1" applyAlignment="1">
      <alignment vertical="center" wrapText="1"/>
    </xf>
    <xf numFmtId="0" fontId="18" fillId="9" borderId="1" xfId="0" quotePrefix="1" applyFont="1" applyFill="1" applyBorder="1" applyAlignment="1">
      <alignment horizontal="right" vertical="center"/>
    </xf>
    <xf numFmtId="38" fontId="15" fillId="9" borderId="1" xfId="4" applyFont="1" applyFill="1" applyBorder="1" applyAlignment="1">
      <alignment vertical="center" wrapText="1"/>
    </xf>
    <xf numFmtId="38" fontId="27" fillId="9" borderId="1" xfId="4" applyFont="1" applyFill="1" applyBorder="1" applyAlignment="1">
      <alignment vertical="center" wrapText="1"/>
    </xf>
    <xf numFmtId="164" fontId="18" fillId="9" borderId="1" xfId="0" applyNumberFormat="1" applyFont="1" applyFill="1" applyBorder="1" applyAlignment="1">
      <alignment vertical="center"/>
    </xf>
    <xf numFmtId="0" fontId="18" fillId="7" borderId="1" xfId="0" applyFont="1" applyFill="1" applyBorder="1" applyAlignment="1">
      <alignment horizontal="right" vertical="center"/>
    </xf>
    <xf numFmtId="38" fontId="15" fillId="7" borderId="1" xfId="4" applyFont="1" applyFill="1" applyBorder="1" applyAlignment="1">
      <alignment vertical="center" wrapText="1"/>
    </xf>
    <xf numFmtId="38" fontId="27" fillId="7" borderId="1" xfId="4" applyFont="1" applyFill="1" applyBorder="1" applyAlignment="1">
      <alignment vertical="center" wrapText="1"/>
    </xf>
    <xf numFmtId="38" fontId="27" fillId="7" borderId="1" xfId="4" applyFont="1" applyFill="1" applyBorder="1" applyAlignment="1">
      <alignment horizontal="center" vertical="center" wrapText="1"/>
    </xf>
    <xf numFmtId="0" fontId="46" fillId="4" borderId="0" xfId="0" applyFont="1" applyFill="1" applyAlignment="1">
      <alignment vertical="center"/>
    </xf>
    <xf numFmtId="0" fontId="40" fillId="4" borderId="0" xfId="0" applyFont="1" applyFill="1" applyAlignment="1">
      <alignment vertical="center"/>
    </xf>
    <xf numFmtId="0" fontId="19" fillId="4" borderId="1" xfId="0" applyFont="1" applyFill="1" applyBorder="1" applyAlignment="1">
      <alignment horizontal="left" vertical="center"/>
    </xf>
    <xf numFmtId="0" fontId="10" fillId="4" borderId="1" xfId="0" applyFont="1" applyFill="1" applyBorder="1" applyAlignment="1">
      <alignment horizontal="left" vertical="center"/>
    </xf>
    <xf numFmtId="0" fontId="47" fillId="4" borderId="1" xfId="0" applyFont="1" applyFill="1" applyBorder="1" applyAlignment="1">
      <alignment vertical="center" wrapText="1"/>
    </xf>
    <xf numFmtId="38" fontId="33" fillId="4" borderId="1" xfId="4" applyFont="1" applyFill="1" applyBorder="1" applyAlignment="1">
      <alignment vertical="center" wrapText="1"/>
    </xf>
    <xf numFmtId="0" fontId="38" fillId="4" borderId="1" xfId="0" applyFont="1" applyFill="1" applyBorder="1" applyAlignment="1">
      <alignment vertical="center" wrapText="1"/>
    </xf>
    <xf numFmtId="9" fontId="40" fillId="4" borderId="1" xfId="0" applyNumberFormat="1" applyFont="1" applyFill="1" applyBorder="1" applyAlignment="1">
      <alignment vertical="center"/>
    </xf>
    <xf numFmtId="0" fontId="10" fillId="4" borderId="1" xfId="0" applyFont="1" applyFill="1" applyBorder="1" applyAlignment="1">
      <alignment vertical="center" wrapText="1"/>
    </xf>
    <xf numFmtId="9" fontId="40" fillId="4" borderId="1" xfId="0" applyNumberFormat="1" applyFont="1" applyFill="1" applyBorder="1" applyAlignment="1" applyProtection="1">
      <alignment vertical="center"/>
      <protection locked="0"/>
    </xf>
    <xf numFmtId="0" fontId="18" fillId="4" borderId="1" xfId="0" applyFont="1" applyFill="1" applyBorder="1" applyAlignment="1">
      <alignment vertical="center" wrapText="1"/>
    </xf>
    <xf numFmtId="0" fontId="50" fillId="4" borderId="1" xfId="0" applyFont="1" applyFill="1" applyBorder="1" applyAlignment="1">
      <alignment vertical="center"/>
    </xf>
    <xf numFmtId="167" fontId="40" fillId="4" borderId="1" xfId="1" applyNumberFormat="1" applyFont="1" applyFill="1" applyBorder="1" applyAlignment="1" applyProtection="1">
      <alignment vertical="center"/>
      <protection locked="0"/>
    </xf>
    <xf numFmtId="0" fontId="31" fillId="4" borderId="1" xfId="0" applyFont="1" applyFill="1" applyBorder="1" applyAlignment="1">
      <alignment horizontal="left" vertical="center"/>
    </xf>
    <xf numFmtId="167" fontId="18" fillId="4" borderId="1" xfId="1" applyNumberFormat="1" applyFont="1" applyFill="1" applyBorder="1" applyAlignment="1" applyProtection="1">
      <alignment vertical="center"/>
    </xf>
    <xf numFmtId="0" fontId="40" fillId="4" borderId="1" xfId="0" applyFont="1" applyFill="1" applyBorder="1" applyAlignment="1">
      <alignment vertical="center"/>
    </xf>
    <xf numFmtId="0" fontId="51" fillId="4" borderId="1" xfId="0" applyFont="1" applyFill="1" applyBorder="1" applyAlignment="1">
      <alignment vertical="center"/>
    </xf>
    <xf numFmtId="0" fontId="52" fillId="4" borderId="0" xfId="0" applyFont="1" applyFill="1" applyAlignment="1">
      <alignment vertical="center"/>
    </xf>
    <xf numFmtId="167" fontId="40" fillId="5" borderId="1" xfId="1" applyNumberFormat="1" applyFont="1" applyFill="1" applyBorder="1" applyAlignment="1" applyProtection="1">
      <alignment vertical="center"/>
    </xf>
    <xf numFmtId="164" fontId="40" fillId="5" borderId="1" xfId="1" applyFont="1" applyFill="1" applyBorder="1" applyAlignment="1" applyProtection="1">
      <alignment vertical="center"/>
    </xf>
    <xf numFmtId="167" fontId="49" fillId="5" borderId="1" xfId="1" applyNumberFormat="1" applyFont="1" applyFill="1" applyBorder="1" applyAlignment="1" applyProtection="1">
      <alignment vertical="center"/>
    </xf>
    <xf numFmtId="164" fontId="49" fillId="5" borderId="1" xfId="1" applyFont="1" applyFill="1" applyBorder="1" applyAlignment="1" applyProtection="1">
      <alignment vertical="center"/>
    </xf>
    <xf numFmtId="168" fontId="49" fillId="5" borderId="1" xfId="2" applyNumberFormat="1" applyFont="1" applyFill="1" applyBorder="1" applyAlignment="1" applyProtection="1">
      <alignment vertical="center"/>
    </xf>
    <xf numFmtId="38" fontId="26" fillId="9" borderId="1" xfId="4" applyFont="1" applyFill="1" applyBorder="1" applyAlignment="1">
      <alignment vertical="center" wrapText="1"/>
    </xf>
    <xf numFmtId="38" fontId="26" fillId="7" borderId="1" xfId="4" applyFont="1" applyFill="1" applyBorder="1" applyAlignment="1">
      <alignment vertical="center" wrapText="1"/>
    </xf>
    <xf numFmtId="38" fontId="26" fillId="7" borderId="1" xfId="4" applyFont="1" applyFill="1" applyBorder="1" applyAlignment="1">
      <alignment horizontal="center" vertical="center" wrapText="1"/>
    </xf>
    <xf numFmtId="0" fontId="23" fillId="4" borderId="1" xfId="0" applyFont="1" applyFill="1" applyBorder="1" applyAlignment="1">
      <alignment horizontal="left" vertical="center" wrapText="1"/>
    </xf>
    <xf numFmtId="38" fontId="22" fillId="4" borderId="1" xfId="5" applyFont="1" applyFill="1" applyBorder="1" applyAlignment="1">
      <alignment vertical="center" wrapText="1"/>
    </xf>
    <xf numFmtId="38" fontId="28" fillId="4" borderId="1" xfId="5" applyFont="1" applyFill="1" applyBorder="1" applyAlignment="1">
      <alignment vertical="center" wrapText="1"/>
    </xf>
    <xf numFmtId="164" fontId="10" fillId="5" borderId="1" xfId="1" applyFont="1" applyFill="1" applyBorder="1" applyAlignment="1" applyProtection="1">
      <alignment vertical="center"/>
    </xf>
    <xf numFmtId="0" fontId="15" fillId="9" borderId="1" xfId="0" applyFont="1" applyFill="1" applyBorder="1" applyAlignment="1">
      <alignment vertical="center"/>
    </xf>
    <xf numFmtId="0" fontId="38" fillId="7" borderId="1" xfId="0" applyFont="1" applyFill="1" applyBorder="1" applyAlignment="1">
      <alignment vertical="center"/>
    </xf>
    <xf numFmtId="167" fontId="10" fillId="7" borderId="1" xfId="1" applyNumberFormat="1" applyFont="1" applyFill="1" applyBorder="1" applyAlignment="1" applyProtection="1">
      <alignment vertical="center"/>
    </xf>
    <xf numFmtId="0" fontId="32" fillId="4" borderId="3"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24" fillId="4" borderId="3" xfId="0" applyFont="1" applyFill="1" applyBorder="1" applyAlignment="1">
      <alignment vertical="center" wrapText="1"/>
    </xf>
    <xf numFmtId="0" fontId="47" fillId="4" borderId="1" xfId="0" applyFont="1" applyFill="1" applyBorder="1" applyAlignment="1">
      <alignment horizontal="left" vertical="center" wrapText="1"/>
    </xf>
    <xf numFmtId="0" fontId="53" fillId="4" borderId="1" xfId="0" applyFont="1" applyFill="1" applyBorder="1" applyAlignment="1">
      <alignment vertical="center" wrapText="1"/>
    </xf>
    <xf numFmtId="0" fontId="23" fillId="4" borderId="0" xfId="0" applyFont="1" applyFill="1" applyAlignment="1">
      <alignment vertical="center"/>
    </xf>
    <xf numFmtId="0" fontId="23" fillId="4" borderId="1" xfId="0" applyFont="1" applyFill="1" applyBorder="1" applyAlignment="1" applyProtection="1">
      <alignment vertical="center" wrapText="1"/>
      <protection locked="0"/>
    </xf>
    <xf numFmtId="167" fontId="56" fillId="4" borderId="1" xfId="1" applyNumberFormat="1" applyFont="1" applyFill="1" applyBorder="1" applyAlignment="1" applyProtection="1">
      <alignment vertical="center"/>
      <protection locked="0"/>
    </xf>
    <xf numFmtId="0" fontId="24" fillId="4" borderId="0" xfId="0" applyFont="1" applyFill="1" applyAlignment="1">
      <alignment vertical="center" wrapText="1"/>
    </xf>
    <xf numFmtId="0" fontId="23" fillId="4" borderId="0" xfId="0" applyFont="1" applyFill="1" applyAlignment="1">
      <alignment vertical="center" wrapText="1"/>
    </xf>
    <xf numFmtId="0" fontId="44" fillId="4" borderId="0" xfId="0" applyFont="1" applyFill="1" applyAlignment="1">
      <alignment vertical="center" wrapText="1"/>
    </xf>
    <xf numFmtId="0" fontId="57" fillId="4" borderId="1" xfId="0" applyFont="1" applyFill="1" applyBorder="1" applyAlignment="1">
      <alignment vertical="center" wrapText="1"/>
    </xf>
    <xf numFmtId="38" fontId="58" fillId="4" borderId="1" xfId="5" applyFont="1" applyFill="1" applyBorder="1" applyAlignment="1">
      <alignment vertical="center" wrapText="1"/>
    </xf>
    <xf numFmtId="0" fontId="57" fillId="4" borderId="0" xfId="0" applyFont="1" applyFill="1" applyAlignment="1">
      <alignment vertical="center" wrapText="1"/>
    </xf>
    <xf numFmtId="0" fontId="59" fillId="4" borderId="0" xfId="0" applyFont="1" applyFill="1" applyAlignment="1">
      <alignment vertical="center" wrapText="1"/>
    </xf>
    <xf numFmtId="0" fontId="52" fillId="5" borderId="0" xfId="0" applyFont="1" applyFill="1" applyAlignment="1">
      <alignment vertical="center"/>
    </xf>
    <xf numFmtId="0" fontId="67" fillId="5" borderId="0" xfId="0" applyFont="1" applyFill="1" applyAlignment="1">
      <alignment vertical="center"/>
    </xf>
    <xf numFmtId="167" fontId="10" fillId="5" borderId="1" xfId="1" applyNumberFormat="1" applyFont="1" applyFill="1" applyBorder="1" applyAlignment="1" applyProtection="1">
      <alignment vertical="center"/>
    </xf>
    <xf numFmtId="164" fontId="10" fillId="5" borderId="3" xfId="1" applyFont="1" applyFill="1" applyBorder="1" applyAlignment="1" applyProtection="1">
      <alignment vertical="center"/>
    </xf>
    <xf numFmtId="168" fontId="10" fillId="5" borderId="3" xfId="2" applyNumberFormat="1" applyFont="1" applyFill="1" applyBorder="1" applyAlignment="1" applyProtection="1">
      <alignment vertical="center"/>
    </xf>
    <xf numFmtId="167" fontId="18" fillId="5" borderId="1" xfId="1" applyNumberFormat="1" applyFont="1" applyFill="1" applyBorder="1" applyAlignment="1" applyProtection="1">
      <alignment vertical="center"/>
    </xf>
    <xf numFmtId="164" fontId="18" fillId="5" borderId="3" xfId="1" applyFont="1" applyFill="1" applyBorder="1" applyAlignment="1" applyProtection="1">
      <alignment vertical="center"/>
    </xf>
    <xf numFmtId="168" fontId="18" fillId="5" borderId="3" xfId="2" applyNumberFormat="1" applyFont="1" applyFill="1" applyBorder="1" applyAlignment="1" applyProtection="1">
      <alignment vertical="center"/>
    </xf>
    <xf numFmtId="168" fontId="10" fillId="5" borderId="1" xfId="2" applyNumberFormat="1" applyFont="1" applyFill="1" applyBorder="1" applyAlignment="1" applyProtection="1">
      <alignment vertical="center"/>
    </xf>
    <xf numFmtId="168" fontId="18" fillId="5" borderId="1" xfId="2" applyNumberFormat="1" applyFont="1" applyFill="1" applyBorder="1" applyAlignment="1" applyProtection="1">
      <alignment vertical="center"/>
    </xf>
    <xf numFmtId="167" fontId="54" fillId="5" borderId="1" xfId="1" applyNumberFormat="1" applyFont="1" applyFill="1" applyBorder="1" applyAlignment="1" applyProtection="1">
      <alignment vertical="center" wrapText="1"/>
    </xf>
    <xf numFmtId="164" fontId="54" fillId="5" borderId="3" xfId="1" applyFont="1" applyFill="1" applyBorder="1" applyAlignment="1" applyProtection="1">
      <alignment vertical="center" wrapText="1"/>
    </xf>
    <xf numFmtId="167" fontId="54" fillId="5" borderId="3" xfId="1" applyNumberFormat="1" applyFont="1" applyFill="1" applyBorder="1" applyAlignment="1" applyProtection="1">
      <alignment vertical="center" wrapText="1"/>
    </xf>
    <xf numFmtId="164" fontId="54" fillId="5" borderId="1" xfId="1" applyFont="1" applyFill="1" applyBorder="1" applyAlignment="1" applyProtection="1">
      <alignment vertical="center" wrapText="1"/>
    </xf>
    <xf numFmtId="0" fontId="53" fillId="9" borderId="1" xfId="0" quotePrefix="1" applyFont="1" applyFill="1" applyBorder="1" applyAlignment="1">
      <alignment horizontal="right" vertical="center" wrapText="1"/>
    </xf>
    <xf numFmtId="0" fontId="32" fillId="9" borderId="1" xfId="0" applyFont="1" applyFill="1" applyBorder="1" applyAlignment="1">
      <alignment vertical="center" wrapText="1"/>
    </xf>
    <xf numFmtId="0" fontId="54" fillId="9" borderId="1" xfId="0" applyFont="1" applyFill="1" applyBorder="1" applyAlignment="1">
      <alignment vertical="center" wrapText="1"/>
    </xf>
    <xf numFmtId="0" fontId="54" fillId="9" borderId="3" xfId="0" applyFont="1" applyFill="1" applyBorder="1" applyAlignment="1">
      <alignment vertical="center" wrapText="1"/>
    </xf>
    <xf numFmtId="0" fontId="40" fillId="7" borderId="0" xfId="0" quotePrefix="1" applyFont="1" applyFill="1" applyAlignment="1">
      <alignment horizontal="right" vertical="center"/>
    </xf>
    <xf numFmtId="0" fontId="53" fillId="7" borderId="1" xfId="0" applyFont="1" applyFill="1" applyBorder="1" applyAlignment="1">
      <alignment vertical="center" wrapText="1"/>
    </xf>
    <xf numFmtId="167" fontId="53" fillId="7" borderId="1" xfId="1" applyNumberFormat="1" applyFont="1" applyFill="1" applyBorder="1" applyAlignment="1" applyProtection="1">
      <alignment vertical="center" wrapText="1"/>
    </xf>
    <xf numFmtId="164" fontId="53" fillId="7" borderId="1" xfId="1" applyFont="1" applyFill="1" applyBorder="1" applyAlignment="1" applyProtection="1">
      <alignment vertical="center" wrapText="1"/>
    </xf>
    <xf numFmtId="0" fontId="60" fillId="4" borderId="0" xfId="0" applyFont="1" applyFill="1" applyAlignment="1">
      <alignment vertical="center"/>
    </xf>
    <xf numFmtId="0" fontId="0" fillId="4" borderId="0" xfId="0" applyFill="1" applyAlignment="1">
      <alignment horizontal="center" vertical="center"/>
    </xf>
    <xf numFmtId="0" fontId="61" fillId="4" borderId="1" xfId="0" applyFont="1" applyFill="1" applyBorder="1" applyAlignment="1">
      <alignment vertical="center" wrapText="1"/>
    </xf>
    <xf numFmtId="0" fontId="0" fillId="4" borderId="11" xfId="0" applyFill="1" applyBorder="1" applyAlignment="1">
      <alignment vertical="center"/>
    </xf>
    <xf numFmtId="0" fontId="61" fillId="4" borderId="1" xfId="0" applyFont="1" applyFill="1" applyBorder="1" applyAlignment="1">
      <alignment horizontal="center" vertical="center" wrapText="1"/>
    </xf>
    <xf numFmtId="0" fontId="63" fillId="4" borderId="1" xfId="0" applyFont="1" applyFill="1" applyBorder="1" applyAlignment="1">
      <alignment horizontal="center" vertical="center" wrapText="1"/>
    </xf>
    <xf numFmtId="0" fontId="40" fillId="4" borderId="11" xfId="0" applyFont="1" applyFill="1" applyBorder="1" applyAlignment="1">
      <alignment vertical="center" wrapText="1"/>
    </xf>
    <xf numFmtId="0" fontId="61" fillId="4" borderId="1" xfId="0" applyFont="1" applyFill="1" applyBorder="1" applyAlignment="1">
      <alignment horizontal="left" vertical="center" wrapText="1"/>
    </xf>
    <xf numFmtId="0" fontId="65" fillId="4" borderId="11" xfId="0" applyFont="1" applyFill="1" applyBorder="1" applyAlignment="1">
      <alignment vertical="center"/>
    </xf>
    <xf numFmtId="0" fontId="0" fillId="4" borderId="13" xfId="0" applyFill="1" applyBorder="1" applyAlignment="1">
      <alignment vertical="center"/>
    </xf>
    <xf numFmtId="0" fontId="61" fillId="4" borderId="14" xfId="0" applyFont="1" applyFill="1" applyBorder="1" applyAlignment="1">
      <alignment vertical="center" wrapText="1"/>
    </xf>
    <xf numFmtId="0" fontId="0" fillId="5" borderId="12" xfId="0" applyFill="1" applyBorder="1" applyAlignment="1">
      <alignment horizontal="center" vertical="center"/>
    </xf>
    <xf numFmtId="164" fontId="0" fillId="5" borderId="12" xfId="0" applyNumberFormat="1" applyFill="1" applyBorder="1" applyAlignment="1">
      <alignment horizontal="center" vertical="center"/>
    </xf>
    <xf numFmtId="9" fontId="0" fillId="5" borderId="12" xfId="2" applyFont="1" applyFill="1" applyBorder="1" applyAlignment="1" applyProtection="1">
      <alignment horizontal="center" vertical="center"/>
    </xf>
    <xf numFmtId="0" fontId="65" fillId="5" borderId="12" xfId="0" applyFont="1" applyFill="1" applyBorder="1" applyAlignment="1">
      <alignment horizontal="center" vertical="center"/>
    </xf>
    <xf numFmtId="0" fontId="0" fillId="5" borderId="15" xfId="0" applyFill="1" applyBorder="1" applyAlignment="1">
      <alignment horizontal="center" vertical="center"/>
    </xf>
    <xf numFmtId="0" fontId="0" fillId="9" borderId="7" xfId="0" applyFill="1" applyBorder="1" applyAlignment="1">
      <alignment vertical="center"/>
    </xf>
    <xf numFmtId="0" fontId="41" fillId="9" borderId="8" xfId="0" applyFont="1" applyFill="1" applyBorder="1" applyAlignment="1">
      <alignment horizontal="center" vertical="center" wrapText="1"/>
    </xf>
    <xf numFmtId="0" fontId="41" fillId="9" borderId="9" xfId="0" applyFont="1" applyFill="1" applyBorder="1" applyAlignment="1">
      <alignment vertical="center" wrapText="1"/>
    </xf>
    <xf numFmtId="0" fontId="27" fillId="9" borderId="9" xfId="0" applyFont="1" applyFill="1" applyBorder="1" applyAlignment="1">
      <alignment horizontal="center" vertical="center"/>
    </xf>
    <xf numFmtId="0" fontId="3" fillId="9" borderId="10" xfId="0" applyFont="1" applyFill="1" applyBorder="1" applyAlignment="1">
      <alignment horizontal="center" vertical="center"/>
    </xf>
    <xf numFmtId="0" fontId="61" fillId="7" borderId="11" xfId="0" applyFont="1" applyFill="1" applyBorder="1" applyAlignment="1">
      <alignment vertical="center" wrapText="1"/>
    </xf>
    <xf numFmtId="0" fontId="61" fillId="7" borderId="1" xfId="0" applyFont="1" applyFill="1" applyBorder="1" applyAlignment="1">
      <alignment vertical="center" wrapText="1"/>
    </xf>
    <xf numFmtId="0" fontId="62" fillId="7" borderId="1" xfId="0" applyFont="1" applyFill="1" applyBorder="1" applyAlignment="1">
      <alignment vertical="center" wrapText="1"/>
    </xf>
    <xf numFmtId="0" fontId="62" fillId="7" borderId="12" xfId="0" applyFont="1" applyFill="1" applyBorder="1" applyAlignment="1">
      <alignment horizontal="center" vertical="center" wrapText="1"/>
    </xf>
    <xf numFmtId="0" fontId="61" fillId="9" borderId="11" xfId="0" applyFont="1" applyFill="1" applyBorder="1" applyAlignment="1">
      <alignment vertical="center" wrapText="1"/>
    </xf>
    <xf numFmtId="0" fontId="41" fillId="9" borderId="1" xfId="0" applyFont="1" applyFill="1" applyBorder="1" applyAlignment="1">
      <alignment vertical="center" wrapText="1"/>
    </xf>
    <xf numFmtId="0" fontId="61" fillId="9" borderId="1" xfId="0" applyFont="1" applyFill="1" applyBorder="1" applyAlignment="1">
      <alignment vertical="center" wrapText="1"/>
    </xf>
    <xf numFmtId="0" fontId="62" fillId="9" borderId="1" xfId="0" applyFont="1" applyFill="1" applyBorder="1" applyAlignment="1">
      <alignment vertical="center" wrapText="1"/>
    </xf>
    <xf numFmtId="0" fontId="62" fillId="9" borderId="12" xfId="0" applyFont="1" applyFill="1" applyBorder="1" applyAlignment="1">
      <alignment horizontal="center" vertical="center" wrapText="1"/>
    </xf>
    <xf numFmtId="0" fontId="41" fillId="9" borderId="11" xfId="0" applyFont="1" applyFill="1" applyBorder="1" applyAlignment="1">
      <alignment vertical="center" wrapText="1"/>
    </xf>
    <xf numFmtId="0" fontId="10" fillId="10" borderId="1" xfId="0" applyFont="1" applyFill="1" applyBorder="1" applyAlignment="1">
      <alignment horizontal="right" vertical="center"/>
    </xf>
    <xf numFmtId="164" fontId="15" fillId="10" borderId="1" xfId="1" applyFont="1" applyFill="1" applyBorder="1" applyAlignment="1" applyProtection="1">
      <alignment vertical="center" wrapText="1"/>
    </xf>
    <xf numFmtId="164" fontId="27" fillId="10" borderId="1" xfId="1" applyFont="1" applyFill="1" applyBorder="1" applyAlignment="1" applyProtection="1">
      <alignment vertical="center" wrapText="1"/>
    </xf>
    <xf numFmtId="164" fontId="10" fillId="10" borderId="1" xfId="1" applyFont="1" applyFill="1" applyBorder="1" applyAlignment="1" applyProtection="1">
      <alignment vertical="center"/>
    </xf>
    <xf numFmtId="0" fontId="18" fillId="10" borderId="1" xfId="0" applyFont="1" applyFill="1" applyBorder="1" applyAlignment="1">
      <alignment horizontal="right" vertical="center"/>
    </xf>
    <xf numFmtId="164" fontId="18" fillId="10" borderId="1" xfId="1" applyFont="1" applyFill="1" applyBorder="1" applyAlignment="1" applyProtection="1">
      <alignment vertical="center"/>
    </xf>
    <xf numFmtId="0" fontId="32" fillId="10" borderId="3" xfId="0" applyFont="1" applyFill="1" applyBorder="1" applyAlignment="1">
      <alignment vertical="center" wrapText="1"/>
    </xf>
    <xf numFmtId="0" fontId="17" fillId="10" borderId="1" xfId="0" applyFont="1" applyFill="1" applyBorder="1" applyAlignment="1">
      <alignment vertical="center" wrapText="1"/>
    </xf>
    <xf numFmtId="164" fontId="24" fillId="10" borderId="1" xfId="1" applyFont="1" applyFill="1" applyBorder="1" applyAlignment="1" applyProtection="1">
      <alignment vertical="center" wrapText="1"/>
    </xf>
    <xf numFmtId="0" fontId="15" fillId="10" borderId="1" xfId="0" applyFont="1" applyFill="1" applyBorder="1" applyAlignment="1">
      <alignment horizontal="right" vertical="center"/>
    </xf>
    <xf numFmtId="38" fontId="15" fillId="10" borderId="1" xfId="4" applyFont="1" applyFill="1" applyBorder="1" applyAlignment="1">
      <alignment vertical="center" wrapText="1"/>
    </xf>
    <xf numFmtId="38" fontId="41" fillId="10" borderId="1" xfId="4" applyFont="1" applyFill="1" applyBorder="1" applyAlignment="1">
      <alignment vertical="center" wrapText="1"/>
    </xf>
    <xf numFmtId="164" fontId="15" fillId="10" borderId="1" xfId="0" applyNumberFormat="1" applyFont="1" applyFill="1" applyBorder="1" applyAlignment="1">
      <alignment vertical="center"/>
    </xf>
    <xf numFmtId="0" fontId="18" fillId="10" borderId="1" xfId="0" applyFont="1" applyFill="1" applyBorder="1" applyAlignment="1">
      <alignment vertical="center"/>
    </xf>
    <xf numFmtId="0" fontId="21" fillId="10" borderId="1" xfId="0" applyFont="1" applyFill="1" applyBorder="1" applyAlignment="1">
      <alignment vertical="center"/>
    </xf>
    <xf numFmtId="164" fontId="18" fillId="10" borderId="1" xfId="0" applyNumberFormat="1" applyFont="1" applyFill="1" applyBorder="1" applyAlignment="1">
      <alignment vertical="center"/>
    </xf>
    <xf numFmtId="0" fontId="32" fillId="10" borderId="3" xfId="0" applyFont="1" applyFill="1" applyBorder="1" applyAlignment="1">
      <alignment horizontal="right" vertical="center" wrapText="1"/>
    </xf>
    <xf numFmtId="164" fontId="44" fillId="10" borderId="1" xfId="1" applyFont="1" applyFill="1" applyBorder="1" applyAlignment="1" applyProtection="1">
      <alignment vertical="center" wrapText="1"/>
    </xf>
    <xf numFmtId="0" fontId="32" fillId="10" borderId="1" xfId="0" quotePrefix="1" applyFont="1" applyFill="1" applyBorder="1" applyAlignment="1">
      <alignment horizontal="right" vertical="center" wrapText="1"/>
    </xf>
    <xf numFmtId="0" fontId="32" fillId="10" borderId="1" xfId="0" applyFont="1" applyFill="1" applyBorder="1" applyAlignment="1">
      <alignment vertical="center" wrapText="1"/>
    </xf>
    <xf numFmtId="38" fontId="22" fillId="10" borderId="1" xfId="5" applyFont="1" applyFill="1" applyBorder="1" applyAlignment="1">
      <alignment vertical="center" wrapText="1"/>
    </xf>
    <xf numFmtId="38" fontId="28" fillId="10" borderId="1" xfId="5" applyFont="1" applyFill="1" applyBorder="1" applyAlignment="1">
      <alignment vertical="center" wrapText="1"/>
    </xf>
    <xf numFmtId="167" fontId="10" fillId="10" borderId="1" xfId="1" applyNumberFormat="1" applyFont="1" applyFill="1" applyBorder="1" applyAlignment="1" applyProtection="1">
      <alignment vertical="center"/>
    </xf>
    <xf numFmtId="0" fontId="24" fillId="10" borderId="1" xfId="0" applyFont="1" applyFill="1" applyBorder="1" applyAlignment="1">
      <alignment vertical="center"/>
    </xf>
    <xf numFmtId="0" fontId="38" fillId="10" borderId="1" xfId="0" applyFont="1" applyFill="1" applyBorder="1" applyAlignment="1">
      <alignment vertical="center"/>
    </xf>
    <xf numFmtId="0" fontId="40" fillId="10" borderId="0" xfId="0" applyFont="1" applyFill="1" applyAlignment="1">
      <alignment horizontal="right" vertical="center"/>
    </xf>
    <xf numFmtId="0" fontId="32" fillId="10" borderId="1" xfId="0" applyFont="1" applyFill="1" applyBorder="1" applyAlignment="1">
      <alignment vertical="center"/>
    </xf>
    <xf numFmtId="0" fontId="55" fillId="10" borderId="1" xfId="0" quotePrefix="1" applyFont="1" applyFill="1" applyBorder="1" applyAlignment="1">
      <alignment horizontal="right" vertical="center" wrapText="1"/>
    </xf>
    <xf numFmtId="0" fontId="54" fillId="10" borderId="1" xfId="0" applyFont="1" applyFill="1" applyBorder="1" applyAlignment="1">
      <alignment vertical="center" wrapText="1"/>
    </xf>
    <xf numFmtId="0" fontId="54" fillId="10" borderId="3" xfId="0" applyFont="1" applyFill="1" applyBorder="1" applyAlignment="1">
      <alignment vertical="center" wrapText="1"/>
    </xf>
    <xf numFmtId="0" fontId="5" fillId="11" borderId="1" xfId="0" applyFont="1" applyFill="1" applyBorder="1" applyAlignment="1">
      <alignment vertical="center" wrapText="1"/>
    </xf>
    <xf numFmtId="0" fontId="5" fillId="10" borderId="1" xfId="0" applyFont="1" applyFill="1" applyBorder="1" applyAlignment="1">
      <alignment vertical="center" wrapText="1"/>
    </xf>
    <xf numFmtId="0" fontId="0" fillId="9" borderId="1" xfId="0" applyFill="1" applyBorder="1" applyAlignment="1">
      <alignment vertical="center" wrapText="1"/>
    </xf>
    <xf numFmtId="0" fontId="4" fillId="9" borderId="1" xfId="0" applyFont="1" applyFill="1" applyBorder="1" applyAlignment="1">
      <alignment vertical="center" wrapText="1"/>
    </xf>
    <xf numFmtId="0" fontId="0" fillId="4" borderId="0" xfId="0" applyFill="1" applyAlignment="1">
      <alignment vertical="center" wrapText="1"/>
    </xf>
    <xf numFmtId="165" fontId="0" fillId="7" borderId="1" xfId="0" applyNumberFormat="1" applyFill="1" applyBorder="1" applyAlignment="1">
      <alignment vertical="center" wrapText="1"/>
    </xf>
    <xf numFmtId="17" fontId="0" fillId="7" borderId="1" xfId="0" applyNumberFormat="1" applyFill="1" applyBorder="1" applyAlignment="1">
      <alignment vertical="center" wrapText="1"/>
    </xf>
    <xf numFmtId="0" fontId="0" fillId="11" borderId="1" xfId="0" applyFill="1" applyBorder="1" applyAlignment="1">
      <alignment vertical="center" wrapText="1"/>
    </xf>
    <xf numFmtId="0" fontId="0" fillId="10" borderId="1" xfId="0" applyFill="1" applyBorder="1" applyAlignment="1">
      <alignment vertical="center" wrapText="1"/>
    </xf>
    <xf numFmtId="0" fontId="0" fillId="4" borderId="0" xfId="0" applyFill="1"/>
    <xf numFmtId="0" fontId="0" fillId="4" borderId="0" xfId="0" applyFill="1" applyAlignment="1">
      <alignment wrapText="1"/>
    </xf>
    <xf numFmtId="0" fontId="70" fillId="6" borderId="1" xfId="0" applyFont="1" applyFill="1" applyBorder="1" applyAlignment="1">
      <alignment wrapText="1"/>
    </xf>
    <xf numFmtId="0" fontId="0" fillId="6" borderId="1" xfId="0" applyFill="1" applyBorder="1" applyAlignment="1">
      <alignment vertical="center" wrapText="1"/>
    </xf>
    <xf numFmtId="0" fontId="0" fillId="4" borderId="0" xfId="0" applyFill="1" applyAlignment="1">
      <alignment horizontal="center" vertical="center" wrapText="1"/>
    </xf>
    <xf numFmtId="0" fontId="2" fillId="8" borderId="1" xfId="0" applyFont="1" applyFill="1" applyBorder="1" applyAlignment="1">
      <alignment vertical="center" wrapText="1"/>
    </xf>
    <xf numFmtId="0" fontId="68" fillId="8" borderId="1" xfId="0" applyFont="1" applyFill="1" applyBorder="1" applyAlignment="1">
      <alignment vertical="center" wrapText="1"/>
    </xf>
    <xf numFmtId="0" fontId="69" fillId="8" borderId="1" xfId="0" applyFont="1" applyFill="1" applyBorder="1" applyAlignment="1">
      <alignment vertical="center" wrapText="1"/>
    </xf>
    <xf numFmtId="0" fontId="71" fillId="8" borderId="1" xfId="0" applyFont="1" applyFill="1" applyBorder="1" applyAlignment="1">
      <alignment horizontal="center" vertical="center" wrapText="1"/>
    </xf>
    <xf numFmtId="0" fontId="3" fillId="4" borderId="0" xfId="0" applyFont="1" applyFill="1" applyAlignment="1">
      <alignment vertical="center" wrapText="1"/>
    </xf>
    <xf numFmtId="165" fontId="3" fillId="4" borderId="0" xfId="0" applyNumberFormat="1" applyFont="1" applyFill="1" applyAlignment="1">
      <alignment horizontal="left" vertical="center" wrapText="1"/>
    </xf>
    <xf numFmtId="0" fontId="3" fillId="9" borderId="1" xfId="0" applyFont="1" applyFill="1" applyBorder="1" applyAlignment="1">
      <alignment horizontal="center" vertical="center"/>
    </xf>
    <xf numFmtId="167" fontId="40" fillId="4" borderId="1" xfId="1" applyNumberFormat="1" applyFont="1" applyFill="1" applyBorder="1" applyAlignment="1" applyProtection="1">
      <alignment vertical="center"/>
    </xf>
    <xf numFmtId="0" fontId="53" fillId="7" borderId="1" xfId="0" applyFont="1" applyFill="1" applyBorder="1" applyAlignment="1">
      <alignment vertical="center"/>
    </xf>
    <xf numFmtId="38" fontId="26" fillId="10" borderId="1" xfId="5" applyFont="1" applyFill="1" applyBorder="1" applyAlignment="1">
      <alignment vertical="center" wrapText="1"/>
    </xf>
    <xf numFmtId="0" fontId="53" fillId="10" borderId="1" xfId="0" applyFont="1" applyFill="1" applyBorder="1" applyAlignment="1">
      <alignment vertical="center"/>
    </xf>
    <xf numFmtId="0" fontId="41" fillId="7" borderId="1" xfId="0" applyFont="1" applyFill="1" applyBorder="1" applyAlignment="1">
      <alignment vertical="center" wrapText="1"/>
    </xf>
    <xf numFmtId="0" fontId="3" fillId="4" borderId="0" xfId="0" applyFont="1" applyFill="1" applyAlignment="1">
      <alignment vertical="center"/>
    </xf>
    <xf numFmtId="0" fontId="32" fillId="4" borderId="1" xfId="0" applyFont="1" applyFill="1" applyBorder="1" applyAlignment="1" applyProtection="1">
      <alignment horizontal="left" vertical="center"/>
      <protection locked="0"/>
    </xf>
    <xf numFmtId="14" fontId="72" fillId="4" borderId="0" xfId="0" applyNumberFormat="1" applyFont="1" applyFill="1" applyAlignment="1">
      <alignment vertical="center"/>
    </xf>
    <xf numFmtId="14" fontId="0" fillId="4" borderId="0" xfId="0" applyNumberFormat="1" applyFill="1" applyAlignment="1">
      <alignment vertical="center"/>
    </xf>
    <xf numFmtId="0" fontId="73" fillId="4" borderId="0" xfId="0" applyFont="1" applyFill="1" applyAlignment="1">
      <alignment vertical="center"/>
    </xf>
    <xf numFmtId="0" fontId="53" fillId="4" borderId="1" xfId="0" applyFont="1" applyFill="1" applyBorder="1" applyAlignment="1">
      <alignment horizontal="left" vertical="center"/>
    </xf>
    <xf numFmtId="0" fontId="18" fillId="4" borderId="1" xfId="0" applyFont="1" applyFill="1" applyBorder="1" applyAlignment="1" applyProtection="1">
      <alignment vertical="center"/>
      <protection locked="0"/>
    </xf>
    <xf numFmtId="166" fontId="18" fillId="4" borderId="1" xfId="0" quotePrefix="1" applyNumberFormat="1" applyFont="1" applyFill="1" applyBorder="1" applyAlignment="1">
      <alignment horizontal="left" vertical="center"/>
    </xf>
    <xf numFmtId="166" fontId="10" fillId="4" borderId="1" xfId="0" quotePrefix="1" applyNumberFormat="1" applyFont="1" applyFill="1" applyBorder="1" applyAlignment="1">
      <alignment horizontal="left" vertical="center"/>
    </xf>
    <xf numFmtId="0" fontId="24" fillId="4" borderId="1" xfId="0" applyFont="1" applyFill="1" applyBorder="1" applyAlignment="1">
      <alignment horizontal="left" vertical="center"/>
    </xf>
    <xf numFmtId="0" fontId="22" fillId="4" borderId="1" xfId="0" applyFont="1" applyFill="1" applyBorder="1" applyAlignment="1">
      <alignment horizontal="left" vertical="center"/>
    </xf>
    <xf numFmtId="0" fontId="55" fillId="4" borderId="1" xfId="0" applyFont="1" applyFill="1" applyBorder="1" applyAlignment="1">
      <alignment horizontal="left" vertical="center"/>
    </xf>
    <xf numFmtId="0" fontId="39" fillId="4" borderId="1" xfId="0" applyFont="1" applyFill="1" applyBorder="1" applyAlignment="1">
      <alignment horizontal="left" vertical="center"/>
    </xf>
    <xf numFmtId="0" fontId="74" fillId="4" borderId="0" xfId="0" applyFont="1" applyFill="1" applyAlignment="1">
      <alignment vertical="center"/>
    </xf>
    <xf numFmtId="0" fontId="22" fillId="4" borderId="0" xfId="0" applyFont="1" applyFill="1" applyAlignment="1">
      <alignment vertical="center"/>
    </xf>
    <xf numFmtId="166" fontId="18" fillId="4" borderId="1" xfId="0" quotePrefix="1" applyNumberFormat="1" applyFont="1" applyFill="1" applyBorder="1" applyAlignment="1" applyProtection="1">
      <alignment horizontal="left" vertical="center"/>
      <protection locked="0"/>
    </xf>
    <xf numFmtId="0" fontId="49" fillId="10" borderId="1" xfId="0" applyFont="1" applyFill="1" applyBorder="1" applyAlignment="1">
      <alignment vertical="center"/>
    </xf>
    <xf numFmtId="0" fontId="34" fillId="4" borderId="0" xfId="0" applyFont="1" applyFill="1" applyAlignment="1">
      <alignment vertical="center" wrapText="1"/>
    </xf>
    <xf numFmtId="167" fontId="40" fillId="4" borderId="0" xfId="1" applyNumberFormat="1" applyFont="1" applyFill="1" applyBorder="1" applyAlignment="1" applyProtection="1">
      <alignment vertical="center"/>
    </xf>
    <xf numFmtId="164" fontId="49" fillId="4" borderId="0" xfId="1" applyFont="1" applyFill="1" applyBorder="1" applyAlignment="1" applyProtection="1">
      <alignment vertical="center"/>
    </xf>
    <xf numFmtId="164" fontId="40" fillId="4" borderId="0" xfId="1" applyFont="1" applyFill="1" applyBorder="1" applyAlignment="1" applyProtection="1">
      <alignment vertical="center"/>
    </xf>
    <xf numFmtId="164" fontId="0" fillId="5" borderId="12" xfId="1" applyFont="1" applyFill="1" applyBorder="1" applyAlignment="1" applyProtection="1">
      <alignment horizontal="center" vertical="center"/>
    </xf>
    <xf numFmtId="0" fontId="75" fillId="4" borderId="0" xfId="0" applyFont="1" applyFill="1" applyAlignment="1">
      <alignment vertical="center"/>
    </xf>
    <xf numFmtId="167" fontId="10" fillId="4" borderId="1" xfId="0" applyNumberFormat="1" applyFont="1" applyFill="1" applyBorder="1" applyAlignment="1" applyProtection="1">
      <alignment vertical="center"/>
      <protection locked="0"/>
    </xf>
    <xf numFmtId="164" fontId="40" fillId="4" borderId="6" xfId="1" applyFont="1" applyFill="1" applyBorder="1" applyAlignment="1" applyProtection="1">
      <alignment vertical="center"/>
      <protection locked="0"/>
    </xf>
    <xf numFmtId="164" fontId="10" fillId="12" borderId="1" xfId="0" applyNumberFormat="1" applyFont="1" applyFill="1" applyBorder="1" applyAlignment="1">
      <alignment vertical="center"/>
    </xf>
    <xf numFmtId="0" fontId="7" fillId="4" borderId="0" xfId="0" applyFont="1" applyFill="1" applyAlignment="1">
      <alignment vertical="center"/>
    </xf>
    <xf numFmtId="167" fontId="75" fillId="4" borderId="0" xfId="1" applyNumberFormat="1" applyFont="1" applyFill="1" applyBorder="1" applyAlignment="1" applyProtection="1">
      <alignment vertical="center"/>
    </xf>
    <xf numFmtId="164" fontId="0" fillId="4" borderId="0" xfId="0" applyNumberFormat="1" applyFill="1" applyAlignment="1">
      <alignment vertical="center"/>
    </xf>
    <xf numFmtId="0" fontId="71" fillId="8" borderId="1" xfId="0" applyFont="1" applyFill="1" applyBorder="1" applyAlignment="1">
      <alignment horizontal="center" vertical="center" wrapText="1"/>
    </xf>
    <xf numFmtId="0" fontId="0" fillId="6" borderId="3" xfId="0" applyFill="1" applyBorder="1" applyAlignment="1">
      <alignment horizontal="left" vertical="center" wrapText="1"/>
    </xf>
    <xf numFmtId="0" fontId="0" fillId="6" borderId="5" xfId="0" applyFill="1" applyBorder="1" applyAlignment="1">
      <alignment horizontal="left" vertical="center" wrapText="1"/>
    </xf>
    <xf numFmtId="0" fontId="8" fillId="4" borderId="0" xfId="0" applyFont="1" applyFill="1" applyAlignment="1">
      <alignment horizontal="center" vertical="center"/>
    </xf>
    <xf numFmtId="0" fontId="36" fillId="4" borderId="0" xfId="0" applyFont="1" applyFill="1" applyAlignment="1">
      <alignment horizontal="center" vertical="center"/>
    </xf>
    <xf numFmtId="0" fontId="17" fillId="4" borderId="1" xfId="0" applyFont="1" applyFill="1" applyBorder="1" applyAlignment="1">
      <alignment horizontal="center" vertical="center" wrapText="1"/>
    </xf>
    <xf numFmtId="0" fontId="49" fillId="4" borderId="3" xfId="0" applyFont="1" applyFill="1" applyBorder="1" applyAlignment="1">
      <alignment horizontal="center" vertical="center"/>
    </xf>
    <xf numFmtId="0" fontId="49" fillId="4" borderId="5" xfId="0" applyFont="1" applyFill="1" applyBorder="1" applyAlignment="1">
      <alignment horizontal="center" vertical="center"/>
    </xf>
  </cellXfs>
  <cellStyles count="8">
    <cellStyle name="Comma" xfId="1" builtinId="3"/>
    <cellStyle name="Level2" xfId="5" xr:uid="{00000000-0005-0000-0000-000001000000}"/>
    <cellStyle name="Level3Tit" xfId="6" xr:uid="{00000000-0005-0000-0000-000002000000}"/>
    <cellStyle name="Margin" xfId="7" xr:uid="{00000000-0005-0000-0000-000003000000}"/>
    <cellStyle name="Normal" xfId="0" builtinId="0"/>
    <cellStyle name="Normal_MF 4 Capital adequacy" xfId="3" xr:uid="{00000000-0005-0000-0000-000005000000}"/>
    <cellStyle name="Percent" xfId="2" builtinId="5"/>
    <cellStyle name="SubAcct" xfId="4" xr:uid="{00000000-0005-0000-0000-000007000000}"/>
  </cellStyles>
  <dxfs count="0"/>
  <tableStyles count="0" defaultTableStyle="TableStyleMedium2" defaultPivotStyle="PivotStyleLight16"/>
  <colors>
    <mruColors>
      <color rgb="FFE2C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C17"/>
  <sheetViews>
    <sheetView workbookViewId="0">
      <selection activeCell="B24" sqref="B24"/>
    </sheetView>
  </sheetViews>
  <sheetFormatPr defaultRowHeight="15" x14ac:dyDescent="0.25"/>
  <cols>
    <col min="1" max="1" width="9.140625" style="225" customWidth="1"/>
    <col min="2" max="2" width="94" style="225" customWidth="1"/>
    <col min="3" max="3" width="9.140625" style="225" customWidth="1"/>
    <col min="4" max="16384" width="9.140625" style="225"/>
  </cols>
  <sheetData>
    <row r="1" spans="1:3" ht="15.75" x14ac:dyDescent="0.25">
      <c r="A1" s="223"/>
      <c r="B1" s="224" t="s">
        <v>0</v>
      </c>
    </row>
    <row r="2" spans="1:3" ht="15.75" x14ac:dyDescent="0.25">
      <c r="A2" s="223">
        <v>1</v>
      </c>
      <c r="B2" s="224" t="s">
        <v>1</v>
      </c>
      <c r="C2" s="226">
        <v>2</v>
      </c>
    </row>
    <row r="3" spans="1:3" ht="15.75" x14ac:dyDescent="0.25">
      <c r="A3" s="223">
        <v>2</v>
      </c>
      <c r="B3" s="224" t="s">
        <v>2</v>
      </c>
      <c r="C3" s="227">
        <v>44743</v>
      </c>
    </row>
    <row r="4" spans="1:3" ht="45" x14ac:dyDescent="0.25">
      <c r="A4" s="228">
        <v>3</v>
      </c>
      <c r="B4" s="221" t="s">
        <v>3</v>
      </c>
    </row>
    <row r="5" spans="1:3" ht="93.75" customHeight="1" x14ac:dyDescent="0.25">
      <c r="A5" s="228">
        <v>4</v>
      </c>
      <c r="B5" s="221" t="s">
        <v>633</v>
      </c>
    </row>
    <row r="6" spans="1:3" ht="30" x14ac:dyDescent="0.25">
      <c r="A6" s="228">
        <v>5</v>
      </c>
      <c r="B6" s="221" t="s">
        <v>634</v>
      </c>
    </row>
    <row r="7" spans="1:3" ht="30" x14ac:dyDescent="0.25">
      <c r="A7" s="228">
        <v>6</v>
      </c>
      <c r="B7" s="221" t="s">
        <v>4</v>
      </c>
    </row>
    <row r="8" spans="1:3" ht="45" x14ac:dyDescent="0.25">
      <c r="A8" s="228">
        <v>7</v>
      </c>
      <c r="B8" s="221" t="s">
        <v>5</v>
      </c>
    </row>
    <row r="9" spans="1:3" ht="30" x14ac:dyDescent="0.25">
      <c r="A9" s="229">
        <v>8</v>
      </c>
      <c r="B9" s="222" t="s">
        <v>6</v>
      </c>
    </row>
    <row r="10" spans="1:3" ht="30" x14ac:dyDescent="0.25">
      <c r="A10" s="229">
        <v>9</v>
      </c>
      <c r="B10" s="222" t="s">
        <v>643</v>
      </c>
    </row>
    <row r="11" spans="1:3" ht="60" x14ac:dyDescent="0.25">
      <c r="A11" s="229">
        <v>10</v>
      </c>
      <c r="B11" s="222" t="s">
        <v>7</v>
      </c>
    </row>
    <row r="13" spans="1:3" x14ac:dyDescent="0.25">
      <c r="B13" s="239" t="s">
        <v>649</v>
      </c>
    </row>
    <row r="14" spans="1:3" x14ac:dyDescent="0.25">
      <c r="B14" s="225" t="str">
        <f>C2&amp;"-"&amp;'Profit &amp; Loss Statement'!C9&amp;"-"&amp;'Profit &amp; Loss Statement'!C5&amp;"-"&amp;'Profit &amp; Loss Statement'!C7</f>
        <v>2---</v>
      </c>
    </row>
    <row r="16" spans="1:3" x14ac:dyDescent="0.25">
      <c r="B16" s="239" t="s">
        <v>650</v>
      </c>
    </row>
    <row r="17" spans="2:2" x14ac:dyDescent="0.25">
      <c r="B17" s="240">
        <f>C2</f>
        <v>2</v>
      </c>
    </row>
  </sheetData>
  <sheetProtection selectLockedCells="1"/>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L18"/>
  <sheetViews>
    <sheetView tabSelected="1" workbookViewId="0">
      <selection activeCell="N4" sqref="N4"/>
    </sheetView>
  </sheetViews>
  <sheetFormatPr defaultRowHeight="15" x14ac:dyDescent="0.25"/>
  <cols>
    <col min="1" max="1" width="18.42578125" style="230" customWidth="1"/>
    <col min="2" max="2" width="11.7109375" style="230" customWidth="1"/>
    <col min="3" max="3" width="71.42578125" style="230" customWidth="1"/>
    <col min="4" max="4" width="5.5703125" style="230" customWidth="1"/>
    <col min="5" max="5" width="9.140625" style="230" hidden="1" customWidth="1"/>
    <col min="6" max="6" width="27.7109375" style="230" hidden="1" customWidth="1"/>
    <col min="7" max="7" width="28.42578125" style="230" hidden="1" customWidth="1"/>
    <col min="8" max="8" width="54.140625" style="230" hidden="1" customWidth="1"/>
    <col min="9" max="9" width="35.140625" style="230" hidden="1" customWidth="1"/>
    <col min="10" max="10" width="30.5703125" style="230" hidden="1" customWidth="1"/>
    <col min="11" max="11" width="36.5703125" style="230" hidden="1" customWidth="1"/>
    <col min="12" max="12" width="13.5703125" style="230" hidden="1" customWidth="1"/>
    <col min="13" max="15" width="9.140625" style="230" customWidth="1"/>
    <col min="16" max="16384" width="9.140625" style="230"/>
  </cols>
  <sheetData>
    <row r="1" spans="1:12" ht="17.25" customHeight="1" x14ac:dyDescent="0.25">
      <c r="A1" s="241" t="s">
        <v>651</v>
      </c>
      <c r="B1" s="241">
        <v>8</v>
      </c>
    </row>
    <row r="2" spans="1:12" ht="22.5" customHeight="1" x14ac:dyDescent="0.25">
      <c r="A2" s="276" t="s">
        <v>635</v>
      </c>
      <c r="B2" s="276"/>
      <c r="C2" s="238" t="s">
        <v>648</v>
      </c>
      <c r="F2" s="230" t="s">
        <v>683</v>
      </c>
      <c r="G2" s="234" t="s">
        <v>636</v>
      </c>
      <c r="H2" s="234" t="s">
        <v>637</v>
      </c>
      <c r="I2" s="234" t="s">
        <v>638</v>
      </c>
      <c r="J2" s="234" t="s">
        <v>639</v>
      </c>
      <c r="K2" s="234" t="s">
        <v>640</v>
      </c>
      <c r="L2" s="234" t="s">
        <v>641</v>
      </c>
    </row>
    <row r="3" spans="1:12" ht="45" x14ac:dyDescent="0.25">
      <c r="A3" s="236" t="s">
        <v>683</v>
      </c>
      <c r="B3" s="237">
        <f>'Cover Sheet'!E1</f>
        <v>6</v>
      </c>
      <c r="C3" s="235" t="str">
        <f>IF(ISTEXT(F4),F4)&amp;IF(ISTEXT(F5),F5)&amp;IF(ISTEXT(F6),F6)&amp;IF(ISTEXT(F7),F7)&amp;IF(ISTEXT(F8),F8)&amp;IF(ISTEXT(F9),F9)&amp;IF(ISTEXT(F10),F10)</f>
        <v xml:space="preserve">Member Name Not Entered!; Member Code Not Entered!; Year not entered!; Reporting Quarter Not Entered!; Reporting Date not populated!; Region not populated!; </v>
      </c>
      <c r="G3" s="234"/>
      <c r="H3" s="234"/>
      <c r="I3" s="234"/>
      <c r="J3" s="234"/>
      <c r="K3" s="234"/>
      <c r="L3" s="234"/>
    </row>
    <row r="4" spans="1:12" ht="45" x14ac:dyDescent="0.25">
      <c r="A4" s="236" t="s">
        <v>636</v>
      </c>
      <c r="B4" s="237">
        <f>'Profit &amp; Loss Statement'!E1</f>
        <v>6</v>
      </c>
      <c r="C4" s="235" t="str">
        <f>IF(ISTEXT(G4),G4)&amp;IF(ISTEXT(G5),G5)&amp;IF(ISTEXT(G6),G6)&amp;IF(ISTEXT(G7),G7)&amp;IF(ISTEXT(G8),G8)&amp;IF(ISTEXT(G9),G9)&amp;IF(ISTEXT(G10),G10)</f>
        <v xml:space="preserve">Member Name Not Entered!; Member Code Not Entered!; Reporting Period Not Entered!; Reporting Date Not Entered!; Year Not Entered!; Region not populated!; </v>
      </c>
      <c r="F4" s="230" t="str">
        <f>IF('Cover Sheet'!D4=1, "Member Name Not Entered!; ", "")</f>
        <v xml:space="preserve">Member Name Not Entered!; </v>
      </c>
      <c r="G4" s="230" t="str">
        <f>IF('Profit &amp; Loss Statement'!D4=1, "Member Name Not Entered!; ", "")</f>
        <v xml:space="preserve">Member Name Not Entered!; </v>
      </c>
      <c r="H4" s="230" t="str">
        <f>IF('Balance Sheet'!D4=1, "Member Name Not Entered!; ", "")</f>
        <v xml:space="preserve">Member Name Not Entered!; </v>
      </c>
      <c r="I4" s="230" t="str">
        <f>IF('Portfolio Report'!D4=1, "Member Name Not Entered!; ", "")</f>
        <v xml:space="preserve">Member Name Not Entered!; </v>
      </c>
      <c r="J4" s="230" t="str">
        <f>IF('Outreach &amp; Social Performance'!D4=1, "Member Name Not Entered!; ", "")</f>
        <v xml:space="preserve">Member Name Not Entered!; </v>
      </c>
      <c r="K4" s="230" t="str">
        <f>IF('Regional Breakdown '!D4=1, "Member Name Not Entered!; ", "")</f>
        <v xml:space="preserve">Member Name Not Entered!; </v>
      </c>
    </row>
    <row r="5" spans="1:12" ht="45" x14ac:dyDescent="0.25">
      <c r="A5" s="236" t="s">
        <v>637</v>
      </c>
      <c r="B5" s="237">
        <f>'Balance Sheet'!E1</f>
        <v>11</v>
      </c>
      <c r="C5" s="235" t="str">
        <f>IF(ISTEXT(H4),H4)&amp;IF(ISTEXT(H5),H5)&amp;IF(ISTEXT(H6),H6)&amp;IF(ISTEXT(H7),H7)&amp;IF(ISTEXT(H8),H8)&amp;IF(ISTEXT(H9),H9)&amp;IF(ISTEXT(H10),H10)&amp;IF(ISTEXT(H11),H11)&amp;IF(ISTEXT(H12),H12)&amp;IF(ISTEXT(H13),H13)&amp;IF(ISTEXT(H14),H14)&amp;IF(ISTEXT(H15),H15)&amp;IF(ISTEXT(H16),H16)</f>
        <v xml:space="preserve">Member Name Not Entered!; Member Code Not Entered!; Reporting Period Not Entered!; Reporting Date Not Entered!; Year Not Entered!; Cash on hand and Due from Bank cannot be empty!; Cash on hand and Due from Bank cannot be zero!; Gross Loan Portfolio cannot be empty!; Gross Loan Portfolio cannot be zero!; Region not populated!; Impairment Loss Allowance cannot be Empty!; </v>
      </c>
      <c r="F5" s="230" t="str">
        <f>IF('Cover Sheet'!D5=1, "Member Code Not Entered!; ", "")</f>
        <v xml:space="preserve">Member Code Not Entered!; </v>
      </c>
      <c r="G5" s="230" t="str">
        <f>IF('Profit &amp; Loss Statement'!D5=1, "Member Code Not Entered!; ", "")</f>
        <v xml:space="preserve">Member Code Not Entered!; </v>
      </c>
      <c r="H5" s="230" t="str">
        <f>IF('Balance Sheet'!D5=1, "Member Code Not Entered!; ", "")</f>
        <v xml:space="preserve">Member Code Not Entered!; </v>
      </c>
      <c r="I5" s="230" t="str">
        <f>IF('Portfolio Report'!D5=1, "Member Code Not Entered!; ", "")</f>
        <v xml:space="preserve">Member Code Not Entered!; </v>
      </c>
      <c r="J5" s="230" t="str">
        <f>IF('Outreach &amp; Social Performance'!D5=1, "Member Code Not Entered!; ", "")</f>
        <v xml:space="preserve">Member Code Not Entered!; </v>
      </c>
      <c r="K5" s="230" t="str">
        <f>IF('Regional Breakdown '!D5=1, "Member Code Not Entered!; ", "")</f>
        <v xml:space="preserve">Member Code Not Entered!; </v>
      </c>
    </row>
    <row r="6" spans="1:12" ht="45" x14ac:dyDescent="0.25">
      <c r="A6" s="236" t="s">
        <v>638</v>
      </c>
      <c r="B6" s="237">
        <f>'Portfolio Report'!E1</f>
        <v>6</v>
      </c>
      <c r="C6" s="235" t="str">
        <f>IF(ISTEXT(I4),I4)&amp;IF(ISTEXT(I5),I5)&amp;IF(ISTEXT(I6),I6)&amp;IF(ISTEXT(I7),I7)&amp;IF(ISTEXT(I8),I8)&amp;IF(ISTEXT(I9),I9)&amp;IF(ISTEXT(I10),I10)&amp;IF(ISTEXT(I11),I11)&amp;IF(ISTEXT(I12),I12)&amp;IF(ISTEXT(I13),I13)</f>
        <v xml:space="preserve">Member Name Not Entered!; Member Code Not Entered!; Reporting Period Not Entered!; Reporting Date Not Entered!; Year Not Entered!; Region not populated!; </v>
      </c>
      <c r="F6" s="230" t="str">
        <f>IF('Cover Sheet'!D6=1, "Return Code Not Entered!; ", "")</f>
        <v/>
      </c>
      <c r="G6" s="230" t="str">
        <f>IF('Profit &amp; Loss Statement'!D6=1, "Return Code Not Entered!; ", "")</f>
        <v/>
      </c>
      <c r="H6" s="230" t="str">
        <f>IF('Balance Sheet'!D6=1, "Return Code Not Entered!; ", "")</f>
        <v/>
      </c>
      <c r="I6" s="230" t="str">
        <f>IF('Portfolio Report'!D6=1, "Return Code Not Entered!; ", "")</f>
        <v/>
      </c>
      <c r="J6" s="230" t="str">
        <f>IF('Outreach &amp; Social Performance'!D6=1, "Return Code Not Entered!; ", "")</f>
        <v/>
      </c>
      <c r="K6" s="230" t="str">
        <f>IF('Regional Breakdown '!D6=1, "Return Code Not Entered!; ", "")</f>
        <v/>
      </c>
    </row>
    <row r="7" spans="1:12" ht="31.5" x14ac:dyDescent="0.25">
      <c r="A7" s="236" t="s">
        <v>639</v>
      </c>
      <c r="B7" s="237">
        <f>'Outreach &amp; Social Performance'!E1</f>
        <v>6</v>
      </c>
      <c r="C7" s="235" t="str">
        <f>IF(ISTEXT(J4),J4)&amp;IF(ISTEXT(J5),J5)&amp;IF(ISTEXT(J6),J6)&amp;IF(ISTEXT(J7),J7)&amp;IF(ISTEXT(J8),J8)&amp;IF(ISTEXT(J9),J9)&amp;IF(ISTEXT(J10),J10)</f>
        <v xml:space="preserve">Member Name Not Entered!; Member Code Not Entered!; Reporting Period Not Entered!; Reporting Date Not Entered!; Year Not Entered!; Region not populated!; </v>
      </c>
      <c r="F7" s="230" t="str">
        <f>IF('Cover Sheet'!D7=1, "Year not entered!; ","")</f>
        <v xml:space="preserve">Year not entered!; </v>
      </c>
      <c r="G7" s="230" t="str">
        <f>IF('Profit &amp; Loss Statement'!D7=1, "Reporting Period Not Entered!; ","")</f>
        <v xml:space="preserve">Reporting Period Not Entered!; </v>
      </c>
      <c r="H7" s="230" t="str">
        <f>IF('Balance Sheet'!D7=1, "Reporting Period Not Entered!; ","")</f>
        <v xml:space="preserve">Reporting Period Not Entered!; </v>
      </c>
      <c r="I7" s="230" t="str">
        <f>IF('Portfolio Report'!D7=1, "Reporting Period Not Entered!; ","")</f>
        <v xml:space="preserve">Reporting Period Not Entered!; </v>
      </c>
      <c r="J7" s="230" t="str">
        <f>IF('Outreach &amp; Social Performance'!D7=1, "Reporting Period Not Entered!; ","")</f>
        <v xml:space="preserve">Reporting Period Not Entered!; </v>
      </c>
      <c r="K7" s="230" t="str">
        <f>IF('Regional Breakdown '!D7=1, "Reporting Period Not Entered!; ","")</f>
        <v xml:space="preserve">Reporting Period Not Entered!; </v>
      </c>
    </row>
    <row r="8" spans="1:12" ht="45" x14ac:dyDescent="0.25">
      <c r="A8" s="236" t="s">
        <v>640</v>
      </c>
      <c r="B8" s="237">
        <f>'Regional Breakdown '!E1</f>
        <v>6</v>
      </c>
      <c r="C8" s="235" t="str">
        <f>IF(ISTEXT(K4),K4)&amp;IF(ISTEXT(K5),K5)&amp;IF(ISTEXT(K6),K6)&amp;IF(ISTEXT(K7),K7)&amp;IF(ISTEXT(K8),K8)&amp;IF(ISTEXT(K9),K9)&amp;IF(ISTEXT(K10),K10)&amp;IF(ISTEXT(K11),K11)&amp;IF(ISTEXT(K12),K12)&amp;IF(ISTEXT(K13),K13)</f>
        <v xml:space="preserve">Member Name Not Entered!; Member Code Not Entered!; Reporting Period Not Entered!; Reporting Date Not Entered!; Year Not Entered!; Region not populated!; </v>
      </c>
      <c r="F8" s="230" t="str">
        <f>IF('Cover Sheet'!D8=1, "Reporting Quarter Not Entered!; ","")</f>
        <v xml:space="preserve">Reporting Quarter Not Entered!; </v>
      </c>
      <c r="G8" s="230" t="str">
        <f>IF('Profit &amp; Loss Statement'!D8=1, "Reporting Date Not Entered!; ","")</f>
        <v xml:space="preserve">Reporting Date Not Entered!; </v>
      </c>
      <c r="H8" s="230" t="str">
        <f>IF('Balance Sheet'!D8=1, "Reporting Date Not Entered!; ","")</f>
        <v xml:space="preserve">Reporting Date Not Entered!; </v>
      </c>
      <c r="I8" s="230" t="str">
        <f>IF('Portfolio Report'!D8=1, "Reporting Date Not Entered!; ","")</f>
        <v xml:space="preserve">Reporting Date Not Entered!; </v>
      </c>
      <c r="J8" s="230" t="str">
        <f>IF('Outreach &amp; Social Performance'!D8=1, "Reporting Date Not Entered!; ","")</f>
        <v xml:space="preserve">Reporting Date Not Entered!; </v>
      </c>
      <c r="K8" s="230" t="str">
        <f>IF('Regional Breakdown '!D8=1, "Reporting Date Not Entered!; ","")</f>
        <v xml:space="preserve">Reporting Date Not Entered!; </v>
      </c>
    </row>
    <row r="9" spans="1:12" ht="15.75" x14ac:dyDescent="0.25">
      <c r="A9" s="236" t="s">
        <v>641</v>
      </c>
      <c r="B9" s="237">
        <f>Ratios!H1</f>
        <v>0</v>
      </c>
      <c r="C9" s="235" t="str">
        <f>IF(L4 = "","",L4)&amp;IF(L5 = "","",L5)&amp;IF(L6 = "","",L6)&amp;IF(L7 = "","",L7)&amp;IF(L8 = "","",L8)&amp;IF(L9 = "","",L9)</f>
        <v/>
      </c>
      <c r="F9" s="230" t="str">
        <f>IF('Cover Sheet'!D9=1, "Reporting Date not populated!; ","")</f>
        <v xml:space="preserve">Reporting Date not populated!; </v>
      </c>
      <c r="G9" s="230" t="str">
        <f>IF('Profit &amp; Loss Statement'!D9=1, "Year Not Entered!; ","")</f>
        <v xml:space="preserve">Year Not Entered!; </v>
      </c>
      <c r="H9" s="230" t="str">
        <f>IF('Balance Sheet'!D9=1, "Year Not Entered!; ","")</f>
        <v xml:space="preserve">Year Not Entered!; </v>
      </c>
      <c r="I9" s="230" t="str">
        <f>IF('Portfolio Report'!D9=1, "Year Not Entered!; ","")</f>
        <v xml:space="preserve">Year Not Entered!; </v>
      </c>
      <c r="J9" s="230" t="str">
        <f>IF('Outreach &amp; Social Performance'!D9=1, "Year Not Entered!; ","")</f>
        <v xml:space="preserve">Year Not Entered!; </v>
      </c>
      <c r="K9" s="230" t="str">
        <f>IF('Regional Breakdown '!D9=1, "Year Not Entered!; ","")</f>
        <v xml:space="preserve">Year Not Entered!; </v>
      </c>
    </row>
    <row r="10" spans="1:12" x14ac:dyDescent="0.25">
      <c r="F10" s="230" t="str">
        <f>IF('Cover Sheet'!D10=1, "Region not populated!; ","")</f>
        <v xml:space="preserve">Region not populated!; </v>
      </c>
      <c r="G10" s="230" t="str">
        <f>IF('Profit &amp; Loss Statement'!D10=1, "Region not populated!; ","")</f>
        <v xml:space="preserve">Region not populated!; </v>
      </c>
      <c r="H10" s="230" t="str">
        <f>IF('Balance Sheet'!D24&lt;&gt;'Balance Sheet'!D43, "Total Assets MUST be equal to Total Liabilities and Equity!; ","")</f>
        <v/>
      </c>
      <c r="I10" s="230" t="str">
        <f>IF('Portfolio Report'!E13&lt;&gt;'Portfolio Report'!E27, "Total Gross Portfolio MUST be equal to Outstanding Loans!; ","")</f>
        <v/>
      </c>
      <c r="J10" s="230" t="str">
        <f>IF('Outreach &amp; Social Performance'!D10=1, "Region not populated!; ","")</f>
        <v xml:space="preserve">Region not populated!; </v>
      </c>
      <c r="K10" s="230" t="str">
        <f>IF('Regional Breakdown '!D10=1, "Region not populated!; ","")</f>
        <v xml:space="preserve">Region not populated!; </v>
      </c>
    </row>
    <row r="11" spans="1:12" s="231" customFormat="1" x14ac:dyDescent="0.25">
      <c r="H11" s="231" t="str">
        <f>IF('Balance Sheet'!D13="", "Cash on hand and Due from Bank cannot be empty!; ","")</f>
        <v xml:space="preserve">Cash on hand and Due from Bank cannot be empty!; </v>
      </c>
      <c r="I11" s="231" t="str">
        <f>IF('Portfolio Report'!E13&lt;&gt;'Portfolio Report'!E51, "Total Gross Loan Outstanding MUST be equal to Outstanding Loans!; ","")</f>
        <v/>
      </c>
      <c r="K11" s="231" t="str">
        <f>IF('Regional Breakdown '!D15&lt;&gt;'Regional Breakdown '!D28, "Number of Loans Outstanding MUST be equal to number of Total Gross Loans Outstanding!; ","")</f>
        <v/>
      </c>
    </row>
    <row r="12" spans="1:12" s="231" customFormat="1" ht="15.75" x14ac:dyDescent="0.25">
      <c r="A12" s="232" t="s">
        <v>644</v>
      </c>
      <c r="H12" s="231" t="str">
        <f>IF('Balance Sheet'!D13=0, "Cash on hand and Due from Bank cannot be zero!; ","")</f>
        <v xml:space="preserve">Cash on hand and Due from Bank cannot be zero!; </v>
      </c>
      <c r="I12" s="231" t="str">
        <f>IF('Portfolio Report'!D10=1, "Region not populated!; ","")</f>
        <v xml:space="preserve">Region not populated!; </v>
      </c>
      <c r="K12" s="231" t="str">
        <f>IF('Regional Breakdown '!D15&lt;&gt;'Regional Breakdown '!D57, "Number of Loans Outstanding MUST be equal to number of Active Borrowers!; ","")</f>
        <v/>
      </c>
    </row>
    <row r="13" spans="1:12" s="231" customFormat="1" ht="32.25" customHeight="1" x14ac:dyDescent="0.25">
      <c r="A13" s="233">
        <v>1</v>
      </c>
      <c r="B13" s="277" t="s">
        <v>645</v>
      </c>
      <c r="C13" s="278"/>
      <c r="G13" s="231" t="s">
        <v>712</v>
      </c>
      <c r="H13" s="231" t="str">
        <f>IF('Balance Sheet'!D16="", "Gross Loan Portfolio cannot be empty!; ","")</f>
        <v xml:space="preserve">Gross Loan Portfolio cannot be empty!; </v>
      </c>
      <c r="I13" s="231" t="str">
        <f>IF(ROUND('Portfolio Report'!G27,2)&gt;ROUND('Portfolio Report'!H27,2), "Actual Provision should be greater or equal to Min. Required Provision!; ","")</f>
        <v/>
      </c>
      <c r="K13" s="231" t="str">
        <f>IF('Regional Breakdown '!D28&lt;&gt;'Regional Breakdown '!D52, "Number of Total Gross Loans Outstanding MUST be the same!; ","")</f>
        <v/>
      </c>
    </row>
    <row r="14" spans="1:12" s="231" customFormat="1" ht="19.5" customHeight="1" x14ac:dyDescent="0.25">
      <c r="A14" s="233">
        <v>2</v>
      </c>
      <c r="B14" s="277" t="s">
        <v>646</v>
      </c>
      <c r="C14" s="278"/>
      <c r="H14" s="231" t="str">
        <f>IF('Balance Sheet'!D16=0, "Gross Loan Portfolio cannot be zero!; ","")</f>
        <v xml:space="preserve">Gross Loan Portfolio cannot be zero!; </v>
      </c>
    </row>
    <row r="15" spans="1:12" s="231" customFormat="1" ht="33.75" customHeight="1" x14ac:dyDescent="0.25">
      <c r="A15" s="233">
        <v>3</v>
      </c>
      <c r="B15" s="277" t="s">
        <v>647</v>
      </c>
      <c r="C15" s="278"/>
      <c r="H15" s="231" t="str">
        <f>IF('Balance Sheet'!D10=1, "Region not populated!; ","")</f>
        <v xml:space="preserve">Region not populated!; </v>
      </c>
    </row>
    <row r="16" spans="1:12" s="231" customFormat="1" x14ac:dyDescent="0.25">
      <c r="H16" s="231" t="str">
        <f>IF('Balance Sheet'!D17=0,"Impairment Loss Allowance cannot be Empty!; ","")</f>
        <v xml:space="preserve">Impairment Loss Allowance cannot be Empty!; </v>
      </c>
    </row>
    <row r="17" s="231" customFormat="1" x14ac:dyDescent="0.25"/>
    <row r="18" s="231" customFormat="1" x14ac:dyDescent="0.25"/>
  </sheetData>
  <sheetProtection algorithmName="SHA-512" hashValue="4o+H7ceLY4kcK9/MvE9hudXxXcnyKVXsxrwrnnKtExf9nXWH399ziegFLNYUJA1O+Y3lELIc3gtUVTxzNYmgpQ==" saltValue="LhZIUZgz7bstbgqdYNkV1Q==" spinCount="100000" sheet="1" objects="1" scenarios="1" selectLockedCells="1"/>
  <mergeCells count="4">
    <mergeCell ref="A2:B2"/>
    <mergeCell ref="B13:C13"/>
    <mergeCell ref="B14:C14"/>
    <mergeCell ref="B15:C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0"/>
  </sheetPr>
  <dimension ref="A1:K281"/>
  <sheetViews>
    <sheetView workbookViewId="0">
      <selection activeCell="C7" sqref="C7"/>
    </sheetView>
  </sheetViews>
  <sheetFormatPr defaultRowHeight="15.75" x14ac:dyDescent="0.25"/>
  <cols>
    <col min="1" max="1" width="6.7109375" style="14" customWidth="1"/>
    <col min="2" max="2" width="52.5703125" style="15" customWidth="1"/>
    <col min="3" max="3" width="78.7109375" style="13" customWidth="1"/>
    <col min="4" max="4" width="29.28515625" style="16" customWidth="1"/>
    <col min="5" max="5" width="15.140625" style="18" customWidth="1"/>
    <col min="6" max="7" width="9.140625" style="18"/>
    <col min="8" max="8" width="9.140625" style="18" customWidth="1"/>
    <col min="9" max="10" width="9.140625" style="18" hidden="1" customWidth="1"/>
    <col min="11" max="11" width="9.7109375" style="18" hidden="1" customWidth="1"/>
    <col min="12" max="16384" width="9.140625" style="18"/>
  </cols>
  <sheetData>
    <row r="1" spans="1:11" s="19" customFormat="1" ht="18.75" x14ac:dyDescent="0.25">
      <c r="A1" s="279" t="s">
        <v>642</v>
      </c>
      <c r="B1" s="279"/>
      <c r="C1" s="279"/>
      <c r="D1" s="279"/>
      <c r="E1" s="55">
        <f>SUM(D4:D10)</f>
        <v>6</v>
      </c>
      <c r="F1" s="56" t="str">
        <f>IF(SUM(D4:D9)=0,"","Error!")</f>
        <v>Error!</v>
      </c>
      <c r="J1" s="19" t="s">
        <v>676</v>
      </c>
      <c r="K1" s="249" t="str">
        <f ca="1">TEXT(TODAY() - 365, "YYYY")</f>
        <v>2021</v>
      </c>
    </row>
    <row r="2" spans="1:11" s="19" customFormat="1" ht="18.75" x14ac:dyDescent="0.25">
      <c r="A2" s="279" t="s">
        <v>8</v>
      </c>
      <c r="B2" s="279"/>
      <c r="C2" s="279"/>
      <c r="D2" s="279"/>
      <c r="J2" s="19" t="s">
        <v>677</v>
      </c>
      <c r="K2" s="249" t="str">
        <f ca="1">TEXT(TODAY(), "YYYY")</f>
        <v>2022</v>
      </c>
    </row>
    <row r="3" spans="1:11" x14ac:dyDescent="0.25">
      <c r="A3" s="20"/>
      <c r="J3" s="247" t="s">
        <v>678</v>
      </c>
      <c r="K3" s="250" t="str">
        <f ca="1">TEXT(TODAY() + 365, "YYYY")</f>
        <v>2023</v>
      </c>
    </row>
    <row r="4" spans="1:11" s="21" customFormat="1" x14ac:dyDescent="0.25">
      <c r="B4" s="22" t="s">
        <v>9</v>
      </c>
      <c r="C4" s="253"/>
      <c r="D4" s="23">
        <f>IF(C4="",1,IF(ISTEXT(C4),0,1))+IF(OR(ISNUMBER(LEFT(C4)),LEFT(C4)=" "),1,0)</f>
        <v>1</v>
      </c>
      <c r="I4" s="19"/>
      <c r="J4" s="24" t="s">
        <v>679</v>
      </c>
    </row>
    <row r="5" spans="1:11" s="21" customFormat="1" x14ac:dyDescent="0.25">
      <c r="B5" s="22" t="s">
        <v>10</v>
      </c>
      <c r="C5" s="253"/>
      <c r="D5" s="23">
        <f>IF(C5="",1,IF(ISTEXT(C5),0,1))+IF(OR(ISNUMBER(LEFT(C5)),LEFT(C5)=" "),1,0)</f>
        <v>1</v>
      </c>
      <c r="I5" s="19"/>
    </row>
    <row r="6" spans="1:11" s="24" customFormat="1" x14ac:dyDescent="0.25">
      <c r="B6" s="22" t="s">
        <v>11</v>
      </c>
      <c r="C6" s="252" t="s">
        <v>685</v>
      </c>
      <c r="D6" s="23">
        <f>IF(C6="",1,IF(ISTEXT(C6),0,1))</f>
        <v>0</v>
      </c>
      <c r="I6" s="18"/>
    </row>
    <row r="7" spans="1:11" s="24" customFormat="1" x14ac:dyDescent="0.25">
      <c r="B7" s="22" t="s">
        <v>14</v>
      </c>
      <c r="C7" s="248"/>
      <c r="D7" s="23">
        <f>IF(C7="",1,0)</f>
        <v>1</v>
      </c>
      <c r="I7" s="19"/>
    </row>
    <row r="8" spans="1:11" s="21" customFormat="1" x14ac:dyDescent="0.25">
      <c r="B8" s="22" t="s">
        <v>682</v>
      </c>
      <c r="C8" s="253"/>
      <c r="D8" s="23">
        <f>IF(C8="",1,IF(ISTEXT(C8),0,1))</f>
        <v>1</v>
      </c>
      <c r="I8" s="19"/>
    </row>
    <row r="9" spans="1:11" s="24" customFormat="1" x14ac:dyDescent="0.25">
      <c r="B9" s="22" t="s">
        <v>13</v>
      </c>
      <c r="C9" s="254" t="str">
        <f>IF(SUM(C12:C13)=2, C11&amp;" "&amp;C14, "")</f>
        <v/>
      </c>
      <c r="D9" s="23">
        <f>IF(C9="",1, 0)</f>
        <v>1</v>
      </c>
      <c r="I9" s="18"/>
    </row>
    <row r="10" spans="1:11" s="24" customFormat="1" x14ac:dyDescent="0.25">
      <c r="B10" s="22" t="s">
        <v>689</v>
      </c>
      <c r="C10" s="262"/>
      <c r="D10" s="23">
        <f>IF(C10="",1, 0)</f>
        <v>1</v>
      </c>
      <c r="I10" s="18"/>
    </row>
    <row r="11" spans="1:11" hidden="1" x14ac:dyDescent="0.25">
      <c r="A11" s="9"/>
      <c r="B11" s="10"/>
      <c r="C11" s="13" t="str">
        <f>IF(C8="Q1", "April", IF(C8="Q2", "July",IF(C8="Q3","October",IF(C8="Q4","January",""))))</f>
        <v/>
      </c>
      <c r="D11" s="12"/>
      <c r="I11" s="19"/>
    </row>
    <row r="12" spans="1:11" hidden="1" x14ac:dyDescent="0.25">
      <c r="A12" s="9"/>
      <c r="B12" s="10"/>
      <c r="C12" s="13">
        <f>IF(ISBLANK(C7), 0, 1)</f>
        <v>0</v>
      </c>
      <c r="D12" s="12" t="s">
        <v>680</v>
      </c>
    </row>
    <row r="13" spans="1:11" hidden="1" x14ac:dyDescent="0.25">
      <c r="C13" s="13">
        <f>IF(ISBLANK(C8), 0,1)</f>
        <v>0</v>
      </c>
      <c r="D13" s="12" t="s">
        <v>681</v>
      </c>
      <c r="I13" s="19"/>
    </row>
    <row r="14" spans="1:11" hidden="1" x14ac:dyDescent="0.25">
      <c r="C14" s="13" t="str">
        <f>IF(C11="", "", IF(C11="January", C7+1, C7))</f>
        <v/>
      </c>
      <c r="D14" s="12"/>
      <c r="I14" s="19"/>
    </row>
    <row r="15" spans="1:11" hidden="1" x14ac:dyDescent="0.25">
      <c r="D15" s="12"/>
    </row>
    <row r="16" spans="1:11" hidden="1" x14ac:dyDescent="0.25">
      <c r="D16" s="12"/>
      <c r="I16" s="19"/>
    </row>
    <row r="17" spans="2:9" hidden="1" x14ac:dyDescent="0.25">
      <c r="I17" s="19"/>
    </row>
    <row r="18" spans="2:9" hidden="1" x14ac:dyDescent="0.25">
      <c r="B18" s="15" t="s">
        <v>705</v>
      </c>
    </row>
    <row r="19" spans="2:9" hidden="1" x14ac:dyDescent="0.25">
      <c r="B19" s="15" t="s">
        <v>690</v>
      </c>
      <c r="I19" s="19"/>
    </row>
    <row r="20" spans="2:9" hidden="1" x14ac:dyDescent="0.25">
      <c r="B20" s="15" t="s">
        <v>706</v>
      </c>
      <c r="I20" s="19"/>
    </row>
    <row r="21" spans="2:9" hidden="1" x14ac:dyDescent="0.25">
      <c r="B21" s="15" t="s">
        <v>691</v>
      </c>
    </row>
    <row r="22" spans="2:9" hidden="1" x14ac:dyDescent="0.25">
      <c r="B22" s="15" t="s">
        <v>692</v>
      </c>
      <c r="I22" s="19"/>
    </row>
    <row r="23" spans="2:9" hidden="1" x14ac:dyDescent="0.25">
      <c r="B23" s="15" t="s">
        <v>693</v>
      </c>
      <c r="I23" s="19"/>
    </row>
    <row r="24" spans="2:9" hidden="1" x14ac:dyDescent="0.25">
      <c r="B24" s="15" t="s">
        <v>694</v>
      </c>
    </row>
    <row r="25" spans="2:9" hidden="1" x14ac:dyDescent="0.25">
      <c r="B25" s="15" t="s">
        <v>695</v>
      </c>
      <c r="I25" s="19"/>
    </row>
    <row r="26" spans="2:9" hidden="1" x14ac:dyDescent="0.25">
      <c r="B26" s="15" t="s">
        <v>696</v>
      </c>
      <c r="I26" s="19"/>
    </row>
    <row r="27" spans="2:9" hidden="1" x14ac:dyDescent="0.25">
      <c r="B27" s="15" t="s">
        <v>697</v>
      </c>
    </row>
    <row r="28" spans="2:9" hidden="1" x14ac:dyDescent="0.25">
      <c r="B28" s="15" t="s">
        <v>698</v>
      </c>
      <c r="I28" s="19"/>
    </row>
    <row r="29" spans="2:9" hidden="1" x14ac:dyDescent="0.25">
      <c r="B29" s="15" t="s">
        <v>699</v>
      </c>
      <c r="I29" s="19"/>
    </row>
    <row r="30" spans="2:9" hidden="1" x14ac:dyDescent="0.25">
      <c r="B30" s="15" t="s">
        <v>700</v>
      </c>
    </row>
    <row r="31" spans="2:9" hidden="1" x14ac:dyDescent="0.25">
      <c r="B31" s="15" t="s">
        <v>701</v>
      </c>
      <c r="I31" s="19"/>
    </row>
    <row r="32" spans="2:9" hidden="1" x14ac:dyDescent="0.25">
      <c r="B32" s="15" t="s">
        <v>702</v>
      </c>
      <c r="I32" s="19"/>
    </row>
    <row r="33" spans="2:9" hidden="1" x14ac:dyDescent="0.25">
      <c r="B33" s="15" t="s">
        <v>703</v>
      </c>
    </row>
    <row r="34" spans="2:9" hidden="1" x14ac:dyDescent="0.25">
      <c r="B34" s="15" t="s">
        <v>704</v>
      </c>
      <c r="I34" s="19"/>
    </row>
    <row r="35" spans="2:9" hidden="1" x14ac:dyDescent="0.25">
      <c r="I35" s="19"/>
    </row>
    <row r="36" spans="2:9" hidden="1" x14ac:dyDescent="0.25"/>
    <row r="37" spans="2:9" hidden="1" x14ac:dyDescent="0.25">
      <c r="I37" s="19"/>
    </row>
    <row r="38" spans="2:9" hidden="1" x14ac:dyDescent="0.25">
      <c r="I38" s="19"/>
    </row>
    <row r="39" spans="2:9" hidden="1" x14ac:dyDescent="0.25"/>
    <row r="40" spans="2:9" x14ac:dyDescent="0.25">
      <c r="I40" s="19"/>
    </row>
    <row r="41" spans="2:9" x14ac:dyDescent="0.25">
      <c r="I41" s="19"/>
    </row>
    <row r="43" spans="2:9" x14ac:dyDescent="0.25">
      <c r="I43" s="19"/>
    </row>
    <row r="44" spans="2:9" x14ac:dyDescent="0.25">
      <c r="I44" s="19"/>
    </row>
    <row r="46" spans="2:9" x14ac:dyDescent="0.25">
      <c r="I46" s="19"/>
    </row>
    <row r="47" spans="2:9" x14ac:dyDescent="0.25">
      <c r="I47" s="19"/>
    </row>
    <row r="49" spans="9:9" x14ac:dyDescent="0.25">
      <c r="I49" s="19"/>
    </row>
    <row r="50" spans="9:9" x14ac:dyDescent="0.25">
      <c r="I50" s="19"/>
    </row>
    <row r="52" spans="9:9" x14ac:dyDescent="0.25">
      <c r="I52" s="19"/>
    </row>
    <row r="53" spans="9:9" x14ac:dyDescent="0.25">
      <c r="I53" s="19"/>
    </row>
    <row r="55" spans="9:9" x14ac:dyDescent="0.25">
      <c r="I55" s="19"/>
    </row>
    <row r="56" spans="9:9" x14ac:dyDescent="0.25">
      <c r="I56" s="19"/>
    </row>
    <row r="58" spans="9:9" x14ac:dyDescent="0.25">
      <c r="I58" s="19"/>
    </row>
    <row r="59" spans="9:9" x14ac:dyDescent="0.25">
      <c r="I59" s="19"/>
    </row>
    <row r="61" spans="9:9" x14ac:dyDescent="0.25">
      <c r="I61" s="19"/>
    </row>
    <row r="62" spans="9:9" x14ac:dyDescent="0.25">
      <c r="I62" s="19"/>
    </row>
    <row r="64" spans="9:9" x14ac:dyDescent="0.25">
      <c r="I64" s="19"/>
    </row>
    <row r="65" spans="9:9" x14ac:dyDescent="0.25">
      <c r="I65" s="19"/>
    </row>
    <row r="67" spans="9:9" x14ac:dyDescent="0.25">
      <c r="I67" s="19"/>
    </row>
    <row r="68" spans="9:9" x14ac:dyDescent="0.25">
      <c r="I68" s="19"/>
    </row>
    <row r="70" spans="9:9" x14ac:dyDescent="0.25">
      <c r="I70" s="19"/>
    </row>
    <row r="71" spans="9:9" x14ac:dyDescent="0.25">
      <c r="I71" s="19"/>
    </row>
    <row r="73" spans="9:9" x14ac:dyDescent="0.25">
      <c r="I73" s="19"/>
    </row>
    <row r="74" spans="9:9" x14ac:dyDescent="0.25">
      <c r="I74" s="19"/>
    </row>
    <row r="76" spans="9:9" x14ac:dyDescent="0.25">
      <c r="I76" s="19"/>
    </row>
    <row r="77" spans="9:9" x14ac:dyDescent="0.25">
      <c r="I77" s="19"/>
    </row>
    <row r="79" spans="9:9" x14ac:dyDescent="0.25">
      <c r="I79" s="19"/>
    </row>
    <row r="80" spans="9:9" x14ac:dyDescent="0.25">
      <c r="I80" s="19"/>
    </row>
    <row r="82" spans="9:9" x14ac:dyDescent="0.25">
      <c r="I82" s="19"/>
    </row>
    <row r="83" spans="9:9" x14ac:dyDescent="0.25">
      <c r="I83" s="19"/>
    </row>
    <row r="85" spans="9:9" x14ac:dyDescent="0.25">
      <c r="I85" s="19"/>
    </row>
    <row r="86" spans="9:9" x14ac:dyDescent="0.25">
      <c r="I86" s="19"/>
    </row>
    <row r="88" spans="9:9" x14ac:dyDescent="0.25">
      <c r="I88" s="19"/>
    </row>
    <row r="89" spans="9:9" x14ac:dyDescent="0.25">
      <c r="I89" s="19"/>
    </row>
    <row r="91" spans="9:9" x14ac:dyDescent="0.25">
      <c r="I91" s="19"/>
    </row>
    <row r="92" spans="9:9" x14ac:dyDescent="0.25">
      <c r="I92" s="19"/>
    </row>
    <row r="94" spans="9:9" x14ac:dyDescent="0.25">
      <c r="I94" s="19"/>
    </row>
    <row r="95" spans="9:9" x14ac:dyDescent="0.25">
      <c r="I95" s="19"/>
    </row>
    <row r="97" spans="9:9" x14ac:dyDescent="0.25">
      <c r="I97" s="19"/>
    </row>
    <row r="98" spans="9:9" x14ac:dyDescent="0.25">
      <c r="I98" s="19"/>
    </row>
    <row r="100" spans="9:9" x14ac:dyDescent="0.25">
      <c r="I100" s="19"/>
    </row>
    <row r="101" spans="9:9" x14ac:dyDescent="0.25">
      <c r="I101" s="19"/>
    </row>
    <row r="103" spans="9:9" x14ac:dyDescent="0.25">
      <c r="I103" s="19"/>
    </row>
    <row r="104" spans="9:9" x14ac:dyDescent="0.25">
      <c r="I104" s="19"/>
    </row>
    <row r="106" spans="9:9" x14ac:dyDescent="0.25">
      <c r="I106" s="19"/>
    </row>
    <row r="107" spans="9:9" x14ac:dyDescent="0.25">
      <c r="I107" s="19"/>
    </row>
    <row r="109" spans="9:9" x14ac:dyDescent="0.25">
      <c r="I109" s="19"/>
    </row>
    <row r="110" spans="9:9" x14ac:dyDescent="0.25">
      <c r="I110" s="19"/>
    </row>
    <row r="112" spans="9:9" x14ac:dyDescent="0.25">
      <c r="I112" s="19"/>
    </row>
    <row r="113" spans="9:9" x14ac:dyDescent="0.25">
      <c r="I113" s="19"/>
    </row>
    <row r="115" spans="9:9" x14ac:dyDescent="0.25">
      <c r="I115" s="19"/>
    </row>
    <row r="116" spans="9:9" x14ac:dyDescent="0.25">
      <c r="I116" s="19"/>
    </row>
    <row r="118" spans="9:9" x14ac:dyDescent="0.25">
      <c r="I118" s="19"/>
    </row>
    <row r="119" spans="9:9" x14ac:dyDescent="0.25">
      <c r="I119" s="19"/>
    </row>
    <row r="121" spans="9:9" x14ac:dyDescent="0.25">
      <c r="I121" s="19"/>
    </row>
    <row r="122" spans="9:9" x14ac:dyDescent="0.25">
      <c r="I122" s="19"/>
    </row>
    <row r="124" spans="9:9" x14ac:dyDescent="0.25">
      <c r="I124" s="19"/>
    </row>
    <row r="125" spans="9:9" x14ac:dyDescent="0.25">
      <c r="I125" s="19"/>
    </row>
    <row r="127" spans="9:9" x14ac:dyDescent="0.25">
      <c r="I127" s="19"/>
    </row>
    <row r="128" spans="9:9" x14ac:dyDescent="0.25">
      <c r="I128" s="19"/>
    </row>
    <row r="130" spans="9:9" x14ac:dyDescent="0.25">
      <c r="I130" s="19"/>
    </row>
    <row r="131" spans="9:9" x14ac:dyDescent="0.25">
      <c r="I131" s="19"/>
    </row>
    <row r="133" spans="9:9" x14ac:dyDescent="0.25">
      <c r="I133" s="19"/>
    </row>
    <row r="134" spans="9:9" x14ac:dyDescent="0.25">
      <c r="I134" s="19"/>
    </row>
    <row r="136" spans="9:9" x14ac:dyDescent="0.25">
      <c r="I136" s="19"/>
    </row>
    <row r="137" spans="9:9" x14ac:dyDescent="0.25">
      <c r="I137" s="19"/>
    </row>
    <row r="139" spans="9:9" x14ac:dyDescent="0.25">
      <c r="I139" s="19"/>
    </row>
    <row r="140" spans="9:9" x14ac:dyDescent="0.25">
      <c r="I140" s="19"/>
    </row>
    <row r="142" spans="9:9" x14ac:dyDescent="0.25">
      <c r="I142" s="19"/>
    </row>
    <row r="143" spans="9:9" x14ac:dyDescent="0.25">
      <c r="I143" s="19"/>
    </row>
    <row r="145" spans="9:9" x14ac:dyDescent="0.25">
      <c r="I145" s="19"/>
    </row>
    <row r="146" spans="9:9" x14ac:dyDescent="0.25">
      <c r="I146" s="19"/>
    </row>
    <row r="148" spans="9:9" x14ac:dyDescent="0.25">
      <c r="I148" s="19"/>
    </row>
    <row r="149" spans="9:9" x14ac:dyDescent="0.25">
      <c r="I149" s="19"/>
    </row>
    <row r="151" spans="9:9" x14ac:dyDescent="0.25">
      <c r="I151" s="19"/>
    </row>
    <row r="152" spans="9:9" x14ac:dyDescent="0.25">
      <c r="I152" s="19"/>
    </row>
    <row r="154" spans="9:9" x14ac:dyDescent="0.25">
      <c r="I154" s="19"/>
    </row>
    <row r="155" spans="9:9" x14ac:dyDescent="0.25">
      <c r="I155" s="19"/>
    </row>
    <row r="157" spans="9:9" x14ac:dyDescent="0.25">
      <c r="I157" s="19"/>
    </row>
    <row r="158" spans="9:9" x14ac:dyDescent="0.25">
      <c r="I158" s="19"/>
    </row>
    <row r="160" spans="9:9" x14ac:dyDescent="0.25">
      <c r="I160" s="19"/>
    </row>
    <row r="161" spans="9:9" x14ac:dyDescent="0.25">
      <c r="I161" s="19"/>
    </row>
    <row r="163" spans="9:9" x14ac:dyDescent="0.25">
      <c r="I163" s="19"/>
    </row>
    <row r="164" spans="9:9" x14ac:dyDescent="0.25">
      <c r="I164" s="19"/>
    </row>
    <row r="166" spans="9:9" x14ac:dyDescent="0.25">
      <c r="I166" s="19"/>
    </row>
    <row r="167" spans="9:9" x14ac:dyDescent="0.25">
      <c r="I167" s="19"/>
    </row>
    <row r="169" spans="9:9" x14ac:dyDescent="0.25">
      <c r="I169" s="19"/>
    </row>
    <row r="170" spans="9:9" x14ac:dyDescent="0.25">
      <c r="I170" s="19"/>
    </row>
    <row r="172" spans="9:9" x14ac:dyDescent="0.25">
      <c r="I172" s="19"/>
    </row>
    <row r="173" spans="9:9" x14ac:dyDescent="0.25">
      <c r="I173" s="19"/>
    </row>
    <row r="175" spans="9:9" x14ac:dyDescent="0.25">
      <c r="I175" s="19"/>
    </row>
    <row r="176" spans="9:9" x14ac:dyDescent="0.25">
      <c r="I176" s="19"/>
    </row>
    <row r="178" spans="9:9" x14ac:dyDescent="0.25">
      <c r="I178" s="19"/>
    </row>
    <row r="179" spans="9:9" x14ac:dyDescent="0.25">
      <c r="I179" s="19"/>
    </row>
    <row r="181" spans="9:9" x14ac:dyDescent="0.25">
      <c r="I181" s="19"/>
    </row>
    <row r="182" spans="9:9" x14ac:dyDescent="0.25">
      <c r="I182" s="19"/>
    </row>
    <row r="184" spans="9:9" x14ac:dyDescent="0.25">
      <c r="I184" s="19"/>
    </row>
    <row r="185" spans="9:9" x14ac:dyDescent="0.25">
      <c r="I185" s="19"/>
    </row>
    <row r="187" spans="9:9" x14ac:dyDescent="0.25">
      <c r="I187" s="19"/>
    </row>
    <row r="188" spans="9:9" x14ac:dyDescent="0.25">
      <c r="I188" s="19"/>
    </row>
    <row r="190" spans="9:9" x14ac:dyDescent="0.25">
      <c r="I190" s="19"/>
    </row>
    <row r="191" spans="9:9" x14ac:dyDescent="0.25">
      <c r="I191" s="19"/>
    </row>
    <row r="193" spans="9:9" x14ac:dyDescent="0.25">
      <c r="I193" s="19"/>
    </row>
    <row r="194" spans="9:9" x14ac:dyDescent="0.25">
      <c r="I194" s="19"/>
    </row>
    <row r="196" spans="9:9" x14ac:dyDescent="0.25">
      <c r="I196" s="19"/>
    </row>
    <row r="197" spans="9:9" x14ac:dyDescent="0.25">
      <c r="I197" s="19"/>
    </row>
    <row r="199" spans="9:9" x14ac:dyDescent="0.25">
      <c r="I199" s="19"/>
    </row>
    <row r="200" spans="9:9" x14ac:dyDescent="0.25">
      <c r="I200" s="19"/>
    </row>
    <row r="202" spans="9:9" x14ac:dyDescent="0.25">
      <c r="I202" s="19"/>
    </row>
    <row r="203" spans="9:9" x14ac:dyDescent="0.25">
      <c r="I203" s="19"/>
    </row>
    <row r="205" spans="9:9" x14ac:dyDescent="0.25">
      <c r="I205" s="19"/>
    </row>
    <row r="206" spans="9:9" x14ac:dyDescent="0.25">
      <c r="I206" s="19"/>
    </row>
    <row r="208" spans="9:9" x14ac:dyDescent="0.25">
      <c r="I208" s="19"/>
    </row>
    <row r="209" spans="9:9" x14ac:dyDescent="0.25">
      <c r="I209" s="19"/>
    </row>
    <row r="211" spans="9:9" x14ac:dyDescent="0.25">
      <c r="I211" s="19"/>
    </row>
    <row r="212" spans="9:9" x14ac:dyDescent="0.25">
      <c r="I212" s="19"/>
    </row>
    <row r="214" spans="9:9" x14ac:dyDescent="0.25">
      <c r="I214" s="19"/>
    </row>
    <row r="215" spans="9:9" x14ac:dyDescent="0.25">
      <c r="I215" s="19"/>
    </row>
    <row r="217" spans="9:9" x14ac:dyDescent="0.25">
      <c r="I217" s="19"/>
    </row>
    <row r="218" spans="9:9" x14ac:dyDescent="0.25">
      <c r="I218" s="19"/>
    </row>
    <row r="220" spans="9:9" x14ac:dyDescent="0.25">
      <c r="I220" s="19"/>
    </row>
    <row r="221" spans="9:9" x14ac:dyDescent="0.25">
      <c r="I221" s="19"/>
    </row>
    <row r="223" spans="9:9" x14ac:dyDescent="0.25">
      <c r="I223" s="19"/>
    </row>
    <row r="224" spans="9:9" x14ac:dyDescent="0.25">
      <c r="I224" s="19"/>
    </row>
    <row r="226" spans="9:9" x14ac:dyDescent="0.25">
      <c r="I226" s="19"/>
    </row>
    <row r="227" spans="9:9" x14ac:dyDescent="0.25">
      <c r="I227" s="19"/>
    </row>
    <row r="229" spans="9:9" x14ac:dyDescent="0.25">
      <c r="I229" s="19"/>
    </row>
    <row r="230" spans="9:9" x14ac:dyDescent="0.25">
      <c r="I230" s="19"/>
    </row>
    <row r="232" spans="9:9" x14ac:dyDescent="0.25">
      <c r="I232" s="19"/>
    </row>
    <row r="233" spans="9:9" x14ac:dyDescent="0.25">
      <c r="I233" s="19"/>
    </row>
    <row r="235" spans="9:9" x14ac:dyDescent="0.25">
      <c r="I235" s="19"/>
    </row>
    <row r="236" spans="9:9" x14ac:dyDescent="0.25">
      <c r="I236" s="19"/>
    </row>
    <row r="238" spans="9:9" x14ac:dyDescent="0.25">
      <c r="I238" s="19"/>
    </row>
    <row r="239" spans="9:9" x14ac:dyDescent="0.25">
      <c r="I239" s="19"/>
    </row>
    <row r="241" spans="9:9" x14ac:dyDescent="0.25">
      <c r="I241" s="19"/>
    </row>
    <row r="242" spans="9:9" x14ac:dyDescent="0.25">
      <c r="I242" s="19"/>
    </row>
    <row r="244" spans="9:9" x14ac:dyDescent="0.25">
      <c r="I244" s="19"/>
    </row>
    <row r="245" spans="9:9" x14ac:dyDescent="0.25">
      <c r="I245" s="19"/>
    </row>
    <row r="247" spans="9:9" x14ac:dyDescent="0.25">
      <c r="I247" s="19"/>
    </row>
    <row r="248" spans="9:9" x14ac:dyDescent="0.25">
      <c r="I248" s="19"/>
    </row>
    <row r="250" spans="9:9" x14ac:dyDescent="0.25">
      <c r="I250" s="19"/>
    </row>
    <row r="251" spans="9:9" x14ac:dyDescent="0.25">
      <c r="I251" s="19"/>
    </row>
    <row r="253" spans="9:9" x14ac:dyDescent="0.25">
      <c r="I253" s="19"/>
    </row>
    <row r="254" spans="9:9" x14ac:dyDescent="0.25">
      <c r="I254" s="19"/>
    </row>
    <row r="256" spans="9:9" x14ac:dyDescent="0.25">
      <c r="I256" s="19"/>
    </row>
    <row r="257" spans="9:9" x14ac:dyDescent="0.25">
      <c r="I257" s="19"/>
    </row>
    <row r="259" spans="9:9" x14ac:dyDescent="0.25">
      <c r="I259" s="19"/>
    </row>
    <row r="260" spans="9:9" x14ac:dyDescent="0.25">
      <c r="I260" s="19"/>
    </row>
    <row r="262" spans="9:9" x14ac:dyDescent="0.25">
      <c r="I262" s="19"/>
    </row>
    <row r="263" spans="9:9" x14ac:dyDescent="0.25">
      <c r="I263" s="19"/>
    </row>
    <row r="265" spans="9:9" x14ac:dyDescent="0.25">
      <c r="I265" s="19"/>
    </row>
    <row r="266" spans="9:9" x14ac:dyDescent="0.25">
      <c r="I266" s="19"/>
    </row>
    <row r="268" spans="9:9" x14ac:dyDescent="0.25">
      <c r="I268" s="19"/>
    </row>
    <row r="269" spans="9:9" x14ac:dyDescent="0.25">
      <c r="I269" s="19"/>
    </row>
    <row r="271" spans="9:9" x14ac:dyDescent="0.25">
      <c r="I271" s="19"/>
    </row>
    <row r="272" spans="9:9" x14ac:dyDescent="0.25">
      <c r="I272" s="19"/>
    </row>
    <row r="274" spans="9:9" x14ac:dyDescent="0.25">
      <c r="I274" s="19"/>
    </row>
    <row r="275" spans="9:9" x14ac:dyDescent="0.25">
      <c r="I275" s="19"/>
    </row>
    <row r="277" spans="9:9" x14ac:dyDescent="0.25">
      <c r="I277" s="19"/>
    </row>
    <row r="278" spans="9:9" x14ac:dyDescent="0.25">
      <c r="I278" s="19"/>
    </row>
    <row r="280" spans="9:9" x14ac:dyDescent="0.25">
      <c r="I280" s="19"/>
    </row>
    <row r="281" spans="9:9" x14ac:dyDescent="0.25">
      <c r="I281" s="19"/>
    </row>
  </sheetData>
  <sheetProtection algorithmName="SHA-512" hashValue="P2xDGv6xDoP63pJmsYUXNTs+vU7PkZN5SJ4afbZO/qaviSQHpNoD8Z9epPsMHWqvPMAM6SaafHXkMctbkkpzPw==" saltValue="bEecAYgutGkxX9u0BMqJgw==" spinCount="100000" sheet="1" selectLockedCells="1"/>
  <mergeCells count="2">
    <mergeCell ref="A1:D1"/>
    <mergeCell ref="A2:D2"/>
  </mergeCells>
  <dataValidations count="6">
    <dataValidation allowBlank="1" showInputMessage="1" showErrorMessage="1" prompt="Please state Month/Year ending the reporting period (e.g. 12/2014 for quarter ending December 2014)" sqref="C9" xr:uid="{00000000-0002-0000-0200-000000000000}"/>
    <dataValidation type="list" allowBlank="1" showInputMessage="1" showErrorMessage="1" prompt="Please state the quarter in which you are reporting on (Eg. Q1 = Jan - Mar; Q2 = Apr - Jun; Q3 = Jul - Sep; Q4 = Oct - Dec)" sqref="C8" xr:uid="{00000000-0002-0000-0200-000001000000}">
      <formula1>$J$1:$J$4</formula1>
    </dataValidation>
    <dataValidation allowBlank="1" showInputMessage="1" showErrorMessage="1" prompt="Please input the MCAG membership ID given to you by MCAG here." sqref="C5" xr:uid="{00000000-0002-0000-0200-000002000000}"/>
    <dataValidation allowBlank="1" showInputMessage="1" showErrorMessage="1" prompt="Please input your registered business name as appears on your BoG License" sqref="C4" xr:uid="{00000000-0002-0000-0200-000003000000}"/>
    <dataValidation type="list" allowBlank="1" showInputMessage="1" showErrorMessage="1" prompt="Please select on of the years in the list" sqref="C7" xr:uid="{00000000-0002-0000-0200-000004000000}">
      <formula1>$K$1:$K$3</formula1>
    </dataValidation>
    <dataValidation type="list" allowBlank="1" showInputMessage="1" showErrorMessage="1" prompt="Please select the Region you operate in" sqref="C10" xr:uid="{00000000-0002-0000-0200-000005000000}">
      <formula1>$B$19:$B$34</formula1>
    </dataValidation>
  </dataValidations>
  <pageMargins left="0.7" right="0.7" top="0.75" bottom="0.75" header="0.3" footer="0.3"/>
  <pageSetup orientation="portrait" r:id="rId1"/>
  <ignoredErrors>
    <ignoredError sqref="D7"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F163"/>
  <sheetViews>
    <sheetView workbookViewId="0">
      <selection activeCell="D13" sqref="D13"/>
    </sheetView>
  </sheetViews>
  <sheetFormatPr defaultRowHeight="15.75" x14ac:dyDescent="0.25"/>
  <cols>
    <col min="1" max="1" width="6.7109375" style="14" customWidth="1"/>
    <col min="2" max="2" width="52.5703125" style="15" customWidth="1"/>
    <col min="3" max="3" width="78.7109375" style="13" customWidth="1"/>
    <col min="4" max="4" width="29.28515625" style="16" customWidth="1"/>
    <col min="5" max="5" width="15.140625" style="18" customWidth="1"/>
    <col min="6" max="16384" width="9.140625" style="18"/>
  </cols>
  <sheetData>
    <row r="1" spans="1:6" s="19" customFormat="1" ht="18.75" x14ac:dyDescent="0.25">
      <c r="A1" s="279" t="s">
        <v>642</v>
      </c>
      <c r="B1" s="279"/>
      <c r="C1" s="279"/>
      <c r="D1" s="279"/>
      <c r="E1" s="55">
        <f>SUM(D4:D10)</f>
        <v>6</v>
      </c>
      <c r="F1" s="56" t="str">
        <f>IF(SUM(D4:D9)=0,"","Error!")</f>
        <v>Error!</v>
      </c>
    </row>
    <row r="2" spans="1:6" s="19" customFormat="1" ht="18.75" x14ac:dyDescent="0.25">
      <c r="A2" s="279" t="s">
        <v>8</v>
      </c>
      <c r="B2" s="279"/>
      <c r="C2" s="279"/>
      <c r="D2" s="279"/>
    </row>
    <row r="3" spans="1:6" x14ac:dyDescent="0.25">
      <c r="A3" s="20"/>
    </row>
    <row r="4" spans="1:6" s="21" customFormat="1" x14ac:dyDescent="0.25">
      <c r="B4" s="22" t="s">
        <v>9</v>
      </c>
      <c r="C4" s="28" t="str">
        <f>IF('Cover Sheet'!C4="", "", 'Cover Sheet'!C4)</f>
        <v/>
      </c>
      <c r="D4" s="23">
        <f>IF(C4="",1,IF(ISTEXT(C4),0,1))+IF(OR(ISNUMBER(LEFT(C4)),LEFT(C4)=" "),1,0)</f>
        <v>1</v>
      </c>
    </row>
    <row r="5" spans="1:6" s="21" customFormat="1" x14ac:dyDescent="0.25">
      <c r="B5" s="22" t="s">
        <v>10</v>
      </c>
      <c r="C5" s="59" t="str">
        <f>IF('Cover Sheet'!C5="", "", 'Cover Sheet'!C5)</f>
        <v/>
      </c>
      <c r="D5" s="23">
        <f>IF(C5="",1,IF(ISTEXT(C5),0,1))+IF(OR(ISNUMBER(LEFT(C5)),LEFT(C5)=" "),1,0)</f>
        <v>1</v>
      </c>
    </row>
    <row r="6" spans="1:6" s="24" customFormat="1" x14ac:dyDescent="0.25">
      <c r="B6" s="22" t="s">
        <v>11</v>
      </c>
      <c r="C6" s="256" t="str">
        <f>IF('Cover Sheet'!C6="", "", 'Cover Sheet'!C6)</f>
        <v xml:space="preserve">MCAG-PR-UA </v>
      </c>
      <c r="D6" s="23">
        <f>IF(C6="",1,IF(ISTEXT(C6),0,1))</f>
        <v>0</v>
      </c>
    </row>
    <row r="7" spans="1:6" s="21" customFormat="1" x14ac:dyDescent="0.25">
      <c r="B7" s="22" t="s">
        <v>12</v>
      </c>
      <c r="C7" s="59" t="str">
        <f>IF('Cover Sheet'!C8="Q1", "January - March "&amp;'Cover Sheet'!C7, IF('Cover Sheet'!C8="Q2", "April - June "&amp;'Cover Sheet'!C7, IF('Cover Sheet'!C8="Q3", "July - September "&amp;'Cover Sheet'!C7, IF('Cover Sheet'!C8="Q4", "October - December "&amp;'Cover Sheet'!C7, ""))))</f>
        <v/>
      </c>
      <c r="D7" s="23">
        <f>IF(C7="",1,IF(ISTEXT(C7),0,1))</f>
        <v>1</v>
      </c>
    </row>
    <row r="8" spans="1:6" s="24" customFormat="1" x14ac:dyDescent="0.25">
      <c r="B8" s="22" t="s">
        <v>13</v>
      </c>
      <c r="C8" s="255" t="str">
        <f>'Cover Sheet'!C9</f>
        <v/>
      </c>
      <c r="D8" s="23">
        <f>IF(C8="",1, 0)</f>
        <v>1</v>
      </c>
    </row>
    <row r="9" spans="1:6" s="26" customFormat="1" x14ac:dyDescent="0.25">
      <c r="A9" s="25"/>
      <c r="B9" s="22" t="s">
        <v>14</v>
      </c>
      <c r="C9" s="257" t="str">
        <f>IF('Cover Sheet'!C7="", "", 'Cover Sheet'!C7)</f>
        <v/>
      </c>
      <c r="D9" s="23">
        <f>IF(C9="",1, 0)</f>
        <v>1</v>
      </c>
    </row>
    <row r="10" spans="1:6" s="26" customFormat="1" x14ac:dyDescent="0.25">
      <c r="A10" s="25"/>
      <c r="B10" s="22" t="s">
        <v>689</v>
      </c>
      <c r="C10" s="257" t="str">
        <f>IF('Cover Sheet'!C10="", "", 'Cover Sheet'!C10)</f>
        <v/>
      </c>
      <c r="D10" s="27">
        <f>IF(C10="",1, 0)</f>
        <v>1</v>
      </c>
    </row>
    <row r="11" spans="1:6" s="24" customFormat="1" ht="15.75" customHeight="1" x14ac:dyDescent="0.25">
      <c r="A11" s="52" t="s">
        <v>15</v>
      </c>
      <c r="B11" s="52" t="s">
        <v>16</v>
      </c>
      <c r="C11" s="53"/>
      <c r="D11" s="52" t="s">
        <v>17</v>
      </c>
    </row>
    <row r="12" spans="1:6" s="21" customFormat="1" x14ac:dyDescent="0.25">
      <c r="A12" s="50"/>
      <c r="B12" s="48" t="s">
        <v>18</v>
      </c>
      <c r="C12" s="49" t="s">
        <v>19</v>
      </c>
      <c r="D12" s="51" t="s">
        <v>20</v>
      </c>
    </row>
    <row r="13" spans="1:6" s="21" customFormat="1" ht="50.25" customHeight="1" x14ac:dyDescent="0.25">
      <c r="A13" s="30" t="s">
        <v>21</v>
      </c>
      <c r="B13" s="31" t="s">
        <v>22</v>
      </c>
      <c r="C13" s="32" t="s">
        <v>23</v>
      </c>
      <c r="D13" s="33"/>
    </row>
    <row r="14" spans="1:6" s="21" customFormat="1" x14ac:dyDescent="0.25">
      <c r="A14" s="30" t="s">
        <v>24</v>
      </c>
      <c r="B14" s="31" t="s">
        <v>25</v>
      </c>
      <c r="C14" s="32" t="s">
        <v>26</v>
      </c>
      <c r="D14" s="33"/>
    </row>
    <row r="15" spans="1:6" s="21" customFormat="1" ht="38.25" x14ac:dyDescent="0.25">
      <c r="A15" s="30" t="s">
        <v>27</v>
      </c>
      <c r="B15" s="34" t="s">
        <v>28</v>
      </c>
      <c r="C15" s="32" t="s">
        <v>29</v>
      </c>
      <c r="D15" s="33"/>
    </row>
    <row r="16" spans="1:6" s="21" customFormat="1" ht="25.5" x14ac:dyDescent="0.25">
      <c r="A16" s="30" t="s">
        <v>30</v>
      </c>
      <c r="B16" s="34" t="s">
        <v>31</v>
      </c>
      <c r="C16" s="32" t="s">
        <v>32</v>
      </c>
      <c r="D16" s="33"/>
    </row>
    <row r="17" spans="1:4" s="21" customFormat="1" ht="25.5" x14ac:dyDescent="0.25">
      <c r="A17" s="30" t="s">
        <v>33</v>
      </c>
      <c r="B17" s="31" t="s">
        <v>34</v>
      </c>
      <c r="C17" s="32" t="s">
        <v>35</v>
      </c>
      <c r="D17" s="33"/>
    </row>
    <row r="18" spans="1:4" s="21" customFormat="1" x14ac:dyDescent="0.25">
      <c r="A18" s="30" t="s">
        <v>36</v>
      </c>
      <c r="B18" s="35" t="s">
        <v>37</v>
      </c>
      <c r="C18" s="36" t="s">
        <v>38</v>
      </c>
      <c r="D18" s="54">
        <f>SUM(D13:D17)</f>
        <v>0</v>
      </c>
    </row>
    <row r="19" spans="1:4" s="21" customFormat="1" x14ac:dyDescent="0.25">
      <c r="A19" s="191"/>
      <c r="B19" s="192" t="s">
        <v>39</v>
      </c>
      <c r="C19" s="193"/>
      <c r="D19" s="194"/>
    </row>
    <row r="20" spans="1:4" x14ac:dyDescent="0.25">
      <c r="A20" s="30" t="s">
        <v>40</v>
      </c>
      <c r="B20" s="31" t="s">
        <v>41</v>
      </c>
      <c r="C20" s="38" t="s">
        <v>42</v>
      </c>
      <c r="D20" s="33"/>
    </row>
    <row r="21" spans="1:4" x14ac:dyDescent="0.25">
      <c r="A21" s="30" t="s">
        <v>43</v>
      </c>
      <c r="B21" s="34" t="s">
        <v>44</v>
      </c>
      <c r="C21" s="38" t="s">
        <v>45</v>
      </c>
      <c r="D21" s="33"/>
    </row>
    <row r="22" spans="1:4" ht="30" x14ac:dyDescent="0.25">
      <c r="A22" s="30" t="s">
        <v>46</v>
      </c>
      <c r="B22" s="31" t="s">
        <v>47</v>
      </c>
      <c r="C22" s="38" t="s">
        <v>48</v>
      </c>
      <c r="D22" s="33"/>
    </row>
    <row r="23" spans="1:4" x14ac:dyDescent="0.25">
      <c r="A23" s="30" t="s">
        <v>49</v>
      </c>
      <c r="B23" s="34" t="s">
        <v>50</v>
      </c>
      <c r="C23" s="38" t="s">
        <v>51</v>
      </c>
      <c r="D23" s="33"/>
    </row>
    <row r="24" spans="1:4" ht="45" x14ac:dyDescent="0.25">
      <c r="A24" s="30" t="s">
        <v>52</v>
      </c>
      <c r="B24" s="31" t="s">
        <v>53</v>
      </c>
      <c r="C24" s="38" t="s">
        <v>54</v>
      </c>
      <c r="D24" s="33"/>
    </row>
    <row r="25" spans="1:4" ht="25.5" x14ac:dyDescent="0.25">
      <c r="A25" s="30" t="s">
        <v>55</v>
      </c>
      <c r="B25" s="35" t="s">
        <v>56</v>
      </c>
      <c r="C25" s="32" t="s">
        <v>57</v>
      </c>
      <c r="D25" s="54">
        <f>SUM(D20:D24)</f>
        <v>0</v>
      </c>
    </row>
    <row r="26" spans="1:4" ht="24" customHeight="1" x14ac:dyDescent="0.25">
      <c r="A26" s="30" t="s">
        <v>58</v>
      </c>
      <c r="B26" s="35" t="s">
        <v>59</v>
      </c>
      <c r="C26" s="38" t="s">
        <v>60</v>
      </c>
      <c r="D26" s="54">
        <f>(D13+D15)-(D20+D22)</f>
        <v>0</v>
      </c>
    </row>
    <row r="27" spans="1:4" ht="45" x14ac:dyDescent="0.25">
      <c r="A27" s="30" t="s">
        <v>61</v>
      </c>
      <c r="B27" s="31" t="s">
        <v>62</v>
      </c>
      <c r="C27" s="38" t="s">
        <v>63</v>
      </c>
      <c r="D27" s="33"/>
    </row>
    <row r="28" spans="1:4" ht="45" x14ac:dyDescent="0.25">
      <c r="A28" s="30" t="s">
        <v>64</v>
      </c>
      <c r="B28" s="31" t="s">
        <v>65</v>
      </c>
      <c r="C28" s="38" t="s">
        <v>66</v>
      </c>
      <c r="D28" s="39"/>
    </row>
    <row r="29" spans="1:4" x14ac:dyDescent="0.25">
      <c r="A29" s="195"/>
      <c r="B29" s="192" t="s">
        <v>67</v>
      </c>
      <c r="C29" s="193"/>
      <c r="D29" s="196"/>
    </row>
    <row r="30" spans="1:4" ht="45" x14ac:dyDescent="0.25">
      <c r="A30" s="30" t="s">
        <v>68</v>
      </c>
      <c r="B30" s="40" t="s">
        <v>69</v>
      </c>
      <c r="C30" s="41" t="s">
        <v>70</v>
      </c>
      <c r="D30" s="33"/>
    </row>
    <row r="31" spans="1:4" ht="45" x14ac:dyDescent="0.25">
      <c r="A31" s="30" t="s">
        <v>71</v>
      </c>
      <c r="B31" s="40" t="s">
        <v>72</v>
      </c>
      <c r="C31" s="41" t="s">
        <v>73</v>
      </c>
      <c r="D31" s="33"/>
    </row>
    <row r="32" spans="1:4" ht="45" x14ac:dyDescent="0.25">
      <c r="A32" s="30" t="s">
        <v>74</v>
      </c>
      <c r="B32" s="40" t="s">
        <v>75</v>
      </c>
      <c r="C32" s="41" t="s">
        <v>76</v>
      </c>
      <c r="D32" s="33"/>
    </row>
    <row r="33" spans="1:4" x14ac:dyDescent="0.25">
      <c r="A33" s="30" t="s">
        <v>77</v>
      </c>
      <c r="B33" s="35" t="s">
        <v>78</v>
      </c>
      <c r="C33" s="41" t="s">
        <v>79</v>
      </c>
      <c r="D33" s="54">
        <f>SUM(D30:D32)</f>
        <v>0</v>
      </c>
    </row>
    <row r="34" spans="1:4" x14ac:dyDescent="0.25">
      <c r="A34" s="30" t="s">
        <v>80</v>
      </c>
      <c r="B34" s="35" t="s">
        <v>81</v>
      </c>
      <c r="C34" s="41" t="s">
        <v>82</v>
      </c>
      <c r="D34" s="54">
        <f>D18-D25-(D27+D28)-D33</f>
        <v>0</v>
      </c>
    </row>
    <row r="35" spans="1:4" ht="30" x14ac:dyDescent="0.25">
      <c r="A35" s="30" t="s">
        <v>83</v>
      </c>
      <c r="B35" s="31" t="s">
        <v>84</v>
      </c>
      <c r="C35" s="38" t="s">
        <v>85</v>
      </c>
      <c r="D35" s="33"/>
    </row>
    <row r="36" spans="1:4" ht="60" x14ac:dyDescent="0.25">
      <c r="A36" s="30" t="s">
        <v>86</v>
      </c>
      <c r="B36" s="31" t="s">
        <v>87</v>
      </c>
      <c r="C36" s="38" t="s">
        <v>88</v>
      </c>
      <c r="D36" s="39"/>
    </row>
    <row r="37" spans="1:4" x14ac:dyDescent="0.25">
      <c r="A37" s="30" t="s">
        <v>89</v>
      </c>
      <c r="B37" s="35" t="s">
        <v>90</v>
      </c>
      <c r="C37" s="42" t="s">
        <v>91</v>
      </c>
      <c r="D37" s="54">
        <f>D34+(D35+D36)</f>
        <v>0</v>
      </c>
    </row>
    <row r="38" spans="1:4" x14ac:dyDescent="0.25">
      <c r="A38" s="30" t="s">
        <v>92</v>
      </c>
      <c r="B38" s="35" t="s">
        <v>93</v>
      </c>
      <c r="C38" s="43" t="s">
        <v>94</v>
      </c>
      <c r="D38" s="33"/>
    </row>
    <row r="39" spans="1:4" x14ac:dyDescent="0.25">
      <c r="A39" s="30" t="s">
        <v>95</v>
      </c>
      <c r="B39" s="35" t="s">
        <v>96</v>
      </c>
      <c r="C39" s="44" t="s">
        <v>97</v>
      </c>
      <c r="D39" s="54">
        <f>D37-D38</f>
        <v>0</v>
      </c>
    </row>
    <row r="40" spans="1:4" x14ac:dyDescent="0.25">
      <c r="A40" s="29"/>
      <c r="B40" s="45"/>
      <c r="C40" s="43"/>
      <c r="D40" s="37"/>
    </row>
    <row r="41" spans="1:4" x14ac:dyDescent="0.25">
      <c r="A41" s="191"/>
      <c r="B41" s="197" t="s">
        <v>98</v>
      </c>
      <c r="C41" s="198"/>
      <c r="D41" s="199"/>
    </row>
    <row r="42" spans="1:4" ht="34.5" customHeight="1" x14ac:dyDescent="0.25">
      <c r="A42" s="30" t="s">
        <v>99</v>
      </c>
      <c r="B42" s="2" t="s">
        <v>100</v>
      </c>
      <c r="C42" s="3" t="s">
        <v>101</v>
      </c>
      <c r="D42" s="46"/>
    </row>
    <row r="43" spans="1:4" ht="25.5" x14ac:dyDescent="0.25">
      <c r="A43" s="30" t="s">
        <v>102</v>
      </c>
      <c r="B43" s="2" t="s">
        <v>103</v>
      </c>
      <c r="C43" s="3" t="s">
        <v>104</v>
      </c>
      <c r="D43" s="1"/>
    </row>
    <row r="44" spans="1:4" ht="25.5" x14ac:dyDescent="0.25">
      <c r="A44" s="30" t="s">
        <v>105</v>
      </c>
      <c r="B44" s="2" t="s">
        <v>106</v>
      </c>
      <c r="C44" s="3" t="s">
        <v>107</v>
      </c>
      <c r="D44" s="1"/>
    </row>
    <row r="45" spans="1:4" ht="25.5" x14ac:dyDescent="0.25">
      <c r="A45" s="30" t="s">
        <v>108</v>
      </c>
      <c r="B45" s="2" t="s">
        <v>109</v>
      </c>
      <c r="C45" s="3" t="s">
        <v>110</v>
      </c>
      <c r="D45" s="1"/>
    </row>
    <row r="46" spans="1:4" ht="27.75" customHeight="1" x14ac:dyDescent="0.25">
      <c r="A46" s="30" t="s">
        <v>111</v>
      </c>
      <c r="B46" s="2" t="s">
        <v>112</v>
      </c>
      <c r="C46" s="3" t="s">
        <v>113</v>
      </c>
      <c r="D46" s="46"/>
    </row>
    <row r="47" spans="1:4" ht="15" x14ac:dyDescent="0.25">
      <c r="A47" s="18"/>
      <c r="B47" s="18"/>
      <c r="C47" s="18"/>
      <c r="D47" s="18"/>
    </row>
    <row r="48" spans="1:4" ht="15" x14ac:dyDescent="0.25">
      <c r="A48" s="18"/>
      <c r="B48" s="18"/>
      <c r="C48" s="18"/>
      <c r="D48" s="18"/>
    </row>
    <row r="49" spans="1:4" ht="15" x14ac:dyDescent="0.25">
      <c r="A49" s="18"/>
      <c r="B49" s="18"/>
      <c r="C49" s="18"/>
      <c r="D49" s="18"/>
    </row>
    <row r="50" spans="1:4" ht="15" x14ac:dyDescent="0.25">
      <c r="A50" s="18"/>
      <c r="B50" s="18"/>
      <c r="C50" s="18"/>
      <c r="D50" s="18"/>
    </row>
    <row r="51" spans="1:4" ht="15" x14ac:dyDescent="0.25">
      <c r="A51" s="18"/>
      <c r="B51" s="18"/>
      <c r="C51" s="18"/>
      <c r="D51" s="18"/>
    </row>
    <row r="52" spans="1:4" ht="15" x14ac:dyDescent="0.25">
      <c r="A52" s="18"/>
      <c r="B52" s="18"/>
      <c r="C52" s="18"/>
      <c r="D52" s="18"/>
    </row>
    <row r="53" spans="1:4" ht="15" x14ac:dyDescent="0.25">
      <c r="A53" s="18"/>
      <c r="B53" s="18"/>
      <c r="C53" s="18"/>
      <c r="D53" s="18"/>
    </row>
    <row r="54" spans="1:4" ht="15" x14ac:dyDescent="0.25">
      <c r="A54" s="18"/>
      <c r="B54" s="18"/>
      <c r="C54" s="18"/>
      <c r="D54" s="18"/>
    </row>
    <row r="55" spans="1:4" ht="15" x14ac:dyDescent="0.25">
      <c r="A55" s="18"/>
      <c r="B55" s="18"/>
      <c r="C55" s="18"/>
      <c r="D55" s="18"/>
    </row>
    <row r="56" spans="1:4" ht="15" x14ac:dyDescent="0.25">
      <c r="A56" s="18"/>
      <c r="B56" s="18"/>
      <c r="C56" s="18"/>
      <c r="D56" s="18"/>
    </row>
    <row r="57" spans="1:4" ht="15" x14ac:dyDescent="0.25">
      <c r="A57" s="18"/>
      <c r="B57" s="18"/>
      <c r="C57" s="18"/>
      <c r="D57" s="18"/>
    </row>
    <row r="58" spans="1:4" ht="15" x14ac:dyDescent="0.25">
      <c r="A58" s="18"/>
      <c r="B58" s="18"/>
      <c r="C58" s="18"/>
      <c r="D58" s="18"/>
    </row>
    <row r="59" spans="1:4" ht="15" x14ac:dyDescent="0.25">
      <c r="A59" s="18"/>
      <c r="B59" s="18"/>
      <c r="C59" s="18"/>
      <c r="D59" s="18"/>
    </row>
    <row r="60" spans="1:4" ht="15" x14ac:dyDescent="0.25">
      <c r="A60" s="18"/>
      <c r="B60" s="18"/>
      <c r="C60" s="18"/>
      <c r="D60" s="18"/>
    </row>
    <row r="61" spans="1:4" ht="15" x14ac:dyDescent="0.25">
      <c r="A61" s="18"/>
      <c r="B61" s="18"/>
      <c r="C61" s="18"/>
      <c r="D61" s="18"/>
    </row>
    <row r="62" spans="1:4" ht="15" x14ac:dyDescent="0.25">
      <c r="A62" s="18"/>
      <c r="B62" s="18"/>
      <c r="C62" s="18"/>
      <c r="D62" s="18"/>
    </row>
    <row r="63" spans="1:4" s="47" customFormat="1" ht="15" x14ac:dyDescent="0.25">
      <c r="A63" s="18"/>
      <c r="B63" s="18"/>
      <c r="C63" s="18"/>
      <c r="D63" s="18"/>
    </row>
    <row r="64" spans="1:4" ht="15" x14ac:dyDescent="0.25">
      <c r="A64" s="18"/>
      <c r="B64" s="18"/>
      <c r="C64" s="18"/>
      <c r="D64" s="18"/>
    </row>
    <row r="65" spans="1:4" ht="15" x14ac:dyDescent="0.25">
      <c r="A65" s="18"/>
      <c r="B65" s="18"/>
      <c r="C65" s="18"/>
      <c r="D65" s="18"/>
    </row>
    <row r="66" spans="1:4" ht="15" x14ac:dyDescent="0.25">
      <c r="A66" s="18"/>
      <c r="B66" s="18"/>
      <c r="C66" s="18"/>
      <c r="D66" s="18"/>
    </row>
    <row r="67" spans="1:4" ht="15" x14ac:dyDescent="0.25">
      <c r="A67" s="18"/>
      <c r="B67" s="18"/>
      <c r="C67" s="18"/>
      <c r="D67" s="18"/>
    </row>
    <row r="68" spans="1:4" ht="15" x14ac:dyDescent="0.25">
      <c r="A68" s="18"/>
      <c r="B68" s="18"/>
      <c r="C68" s="18"/>
      <c r="D68" s="18"/>
    </row>
    <row r="69" spans="1:4" ht="15" x14ac:dyDescent="0.25">
      <c r="A69" s="18"/>
      <c r="B69" s="18"/>
      <c r="C69" s="18"/>
      <c r="D69" s="18"/>
    </row>
    <row r="70" spans="1:4" ht="15" x14ac:dyDescent="0.25">
      <c r="A70" s="18"/>
      <c r="B70" s="18"/>
      <c r="C70" s="18"/>
      <c r="D70" s="18"/>
    </row>
    <row r="71" spans="1:4" ht="19.5" customHeight="1" x14ac:dyDescent="0.25">
      <c r="A71" s="18"/>
      <c r="B71" s="18"/>
      <c r="C71" s="18"/>
      <c r="D71" s="18"/>
    </row>
    <row r="72" spans="1:4" ht="15" x14ac:dyDescent="0.25">
      <c r="A72" s="18"/>
      <c r="B72" s="18"/>
      <c r="C72" s="18"/>
      <c r="D72" s="18"/>
    </row>
    <row r="73" spans="1:4" ht="15" x14ac:dyDescent="0.25">
      <c r="A73" s="18"/>
      <c r="B73" s="18"/>
      <c r="C73" s="18"/>
      <c r="D73" s="18"/>
    </row>
    <row r="74" spans="1:4" ht="15" x14ac:dyDescent="0.25">
      <c r="A74" s="18"/>
      <c r="B74" s="18"/>
      <c r="C74" s="18"/>
      <c r="D74" s="18"/>
    </row>
    <row r="75" spans="1:4" x14ac:dyDescent="0.25">
      <c r="A75" s="9"/>
      <c r="B75" s="18"/>
      <c r="C75" s="18"/>
      <c r="D75" s="18"/>
    </row>
    <row r="76" spans="1:4" ht="15" x14ac:dyDescent="0.25">
      <c r="A76" s="18"/>
      <c r="B76" s="18"/>
      <c r="C76" s="18"/>
      <c r="D76" s="18"/>
    </row>
    <row r="77" spans="1:4" ht="15" x14ac:dyDescent="0.25">
      <c r="A77" s="18"/>
      <c r="B77" s="18"/>
      <c r="C77" s="18"/>
      <c r="D77" s="18"/>
    </row>
    <row r="78" spans="1:4" ht="15" x14ac:dyDescent="0.25">
      <c r="A78" s="18"/>
      <c r="B78" s="18"/>
      <c r="C78" s="18"/>
      <c r="D78" s="18"/>
    </row>
    <row r="79" spans="1:4" ht="15" x14ac:dyDescent="0.25">
      <c r="A79" s="18"/>
      <c r="B79" s="18"/>
      <c r="C79" s="18"/>
      <c r="D79" s="18"/>
    </row>
    <row r="80" spans="1:4" ht="15" x14ac:dyDescent="0.25">
      <c r="A80" s="18"/>
      <c r="B80" s="18"/>
      <c r="C80" s="18"/>
      <c r="D80" s="18"/>
    </row>
    <row r="81" spans="1:4" ht="15" x14ac:dyDescent="0.25">
      <c r="A81" s="18"/>
      <c r="B81" s="18"/>
      <c r="C81" s="18"/>
      <c r="D81" s="18"/>
    </row>
    <row r="82" spans="1:4" ht="15" x14ac:dyDescent="0.25">
      <c r="A82" s="18"/>
      <c r="B82" s="18"/>
      <c r="C82" s="18"/>
      <c r="D82" s="18"/>
    </row>
    <row r="83" spans="1:4" ht="15" x14ac:dyDescent="0.25">
      <c r="A83" s="18"/>
      <c r="B83" s="18"/>
      <c r="C83" s="18"/>
      <c r="D83" s="18"/>
    </row>
    <row r="84" spans="1:4" ht="15" x14ac:dyDescent="0.25">
      <c r="A84" s="18"/>
      <c r="B84" s="18"/>
      <c r="C84" s="18"/>
      <c r="D84" s="18"/>
    </row>
    <row r="85" spans="1:4" ht="15" x14ac:dyDescent="0.25">
      <c r="A85" s="18"/>
      <c r="B85" s="18"/>
      <c r="C85" s="18"/>
      <c r="D85" s="18"/>
    </row>
    <row r="86" spans="1:4" ht="15" x14ac:dyDescent="0.25">
      <c r="A86" s="18"/>
      <c r="B86" s="18"/>
      <c r="C86" s="18"/>
      <c r="D86" s="18"/>
    </row>
    <row r="87" spans="1:4" ht="15" x14ac:dyDescent="0.25">
      <c r="A87" s="18"/>
      <c r="B87" s="18"/>
      <c r="C87" s="18"/>
      <c r="D87" s="18"/>
    </row>
    <row r="88" spans="1:4" ht="15" x14ac:dyDescent="0.25">
      <c r="A88" s="18"/>
      <c r="B88" s="18"/>
      <c r="C88" s="18"/>
      <c r="D88" s="18"/>
    </row>
    <row r="89" spans="1:4" ht="15" x14ac:dyDescent="0.25">
      <c r="A89" s="18"/>
      <c r="B89" s="18"/>
      <c r="C89" s="18"/>
      <c r="D89" s="18"/>
    </row>
    <row r="90" spans="1:4" ht="15" x14ac:dyDescent="0.25">
      <c r="A90" s="18"/>
      <c r="B90" s="18"/>
      <c r="C90" s="18"/>
      <c r="D90" s="18"/>
    </row>
    <row r="91" spans="1:4" ht="15" x14ac:dyDescent="0.25">
      <c r="A91" s="18"/>
      <c r="B91" s="18"/>
      <c r="C91" s="18"/>
      <c r="D91" s="18"/>
    </row>
    <row r="92" spans="1:4" ht="15" x14ac:dyDescent="0.25">
      <c r="A92" s="18"/>
      <c r="B92" s="18"/>
      <c r="C92" s="18"/>
      <c r="D92" s="18"/>
    </row>
    <row r="93" spans="1:4" ht="15" x14ac:dyDescent="0.25">
      <c r="A93" s="18"/>
      <c r="B93" s="18"/>
      <c r="C93" s="18"/>
      <c r="D93" s="18"/>
    </row>
    <row r="94" spans="1:4" ht="15" x14ac:dyDescent="0.25">
      <c r="A94" s="18"/>
      <c r="B94" s="18"/>
      <c r="C94" s="18"/>
      <c r="D94" s="18"/>
    </row>
    <row r="95" spans="1:4" ht="15" x14ac:dyDescent="0.25">
      <c r="A95" s="18"/>
      <c r="B95" s="18"/>
      <c r="C95" s="18"/>
      <c r="D95" s="18"/>
    </row>
    <row r="96" spans="1:4" ht="15" x14ac:dyDescent="0.25">
      <c r="A96" s="18"/>
      <c r="B96" s="18"/>
      <c r="C96" s="18"/>
      <c r="D96" s="18"/>
    </row>
    <row r="97" spans="1:6" ht="15" x14ac:dyDescent="0.25">
      <c r="A97" s="18"/>
      <c r="B97" s="18"/>
      <c r="C97" s="18"/>
      <c r="D97" s="18"/>
    </row>
    <row r="98" spans="1:6" ht="15" x14ac:dyDescent="0.25">
      <c r="A98" s="18"/>
      <c r="B98" s="18"/>
      <c r="C98" s="18"/>
      <c r="D98" s="18"/>
    </row>
    <row r="99" spans="1:6" ht="15" x14ac:dyDescent="0.25">
      <c r="A99" s="18"/>
      <c r="B99" s="18"/>
      <c r="C99" s="18"/>
      <c r="D99" s="18"/>
    </row>
    <row r="100" spans="1:6" ht="15" x14ac:dyDescent="0.25">
      <c r="A100" s="18"/>
      <c r="B100" s="18"/>
      <c r="C100" s="18"/>
      <c r="D100" s="18"/>
    </row>
    <row r="101" spans="1:6" ht="15" x14ac:dyDescent="0.25">
      <c r="A101" s="18"/>
      <c r="B101" s="18"/>
      <c r="C101" s="18"/>
      <c r="D101" s="18"/>
    </row>
    <row r="102" spans="1:6" ht="15" x14ac:dyDescent="0.25">
      <c r="A102" s="18"/>
      <c r="B102" s="18"/>
      <c r="C102" s="18"/>
      <c r="D102" s="18"/>
    </row>
    <row r="103" spans="1:6" ht="15" x14ac:dyDescent="0.25">
      <c r="A103" s="18"/>
      <c r="B103" s="18"/>
      <c r="C103" s="18"/>
      <c r="D103" s="18"/>
    </row>
    <row r="104" spans="1:6" ht="15" x14ac:dyDescent="0.25">
      <c r="A104" s="18"/>
      <c r="B104" s="18"/>
      <c r="C104" s="18"/>
      <c r="D104" s="18"/>
    </row>
    <row r="105" spans="1:6" ht="15" x14ac:dyDescent="0.25">
      <c r="A105" s="18"/>
      <c r="B105" s="18"/>
      <c r="C105" s="18"/>
      <c r="D105" s="18"/>
    </row>
    <row r="106" spans="1:6" ht="15" x14ac:dyDescent="0.25">
      <c r="A106" s="18"/>
      <c r="B106" s="18"/>
      <c r="C106" s="18"/>
      <c r="D106" s="18"/>
    </row>
    <row r="107" spans="1:6" ht="15" x14ac:dyDescent="0.25">
      <c r="A107" s="18"/>
      <c r="B107" s="18"/>
      <c r="C107" s="18"/>
      <c r="D107" s="18"/>
    </row>
    <row r="108" spans="1:6" x14ac:dyDescent="0.25">
      <c r="A108" s="15"/>
      <c r="B108" s="13"/>
      <c r="C108" s="15"/>
      <c r="D108" s="13"/>
      <c r="E108" s="15"/>
      <c r="F108" s="13"/>
    </row>
    <row r="109" spans="1:6" x14ac:dyDescent="0.25">
      <c r="A109" s="15"/>
      <c r="B109" s="13"/>
      <c r="C109" s="15"/>
      <c r="D109" s="13"/>
      <c r="E109" s="15"/>
      <c r="F109" s="13"/>
    </row>
    <row r="110" spans="1:6" x14ac:dyDescent="0.25">
      <c r="A110" s="15"/>
      <c r="B110" s="13"/>
      <c r="C110" s="15"/>
      <c r="D110" s="13"/>
      <c r="E110" s="15"/>
      <c r="F110" s="13"/>
    </row>
    <row r="111" spans="1:6" x14ac:dyDescent="0.25">
      <c r="A111" s="15"/>
      <c r="B111" s="13"/>
      <c r="C111" s="15"/>
      <c r="D111" s="13"/>
      <c r="E111" s="15"/>
      <c r="F111" s="13"/>
    </row>
    <row r="112" spans="1:6" x14ac:dyDescent="0.25">
      <c r="A112" s="15"/>
      <c r="B112" s="13"/>
      <c r="C112" s="15"/>
      <c r="D112" s="13"/>
      <c r="E112" s="15"/>
      <c r="F112" s="13"/>
    </row>
    <row r="113" spans="1:6" x14ac:dyDescent="0.25">
      <c r="A113" s="15"/>
      <c r="B113" s="13"/>
      <c r="C113" s="15"/>
      <c r="D113" s="13"/>
      <c r="E113" s="15"/>
      <c r="F113" s="13"/>
    </row>
    <row r="114" spans="1:6" x14ac:dyDescent="0.25">
      <c r="A114" s="15"/>
      <c r="B114" s="13"/>
      <c r="C114" s="15"/>
      <c r="D114" s="13"/>
      <c r="E114" s="15"/>
      <c r="F114" s="13"/>
    </row>
    <row r="115" spans="1:6" x14ac:dyDescent="0.25">
      <c r="A115" s="15"/>
      <c r="B115" s="13"/>
      <c r="C115" s="15"/>
      <c r="D115" s="13"/>
      <c r="E115" s="15"/>
      <c r="F115" s="13"/>
    </row>
    <row r="116" spans="1:6" x14ac:dyDescent="0.25">
      <c r="A116" s="15"/>
      <c r="B116" s="13"/>
      <c r="C116" s="15"/>
      <c r="D116" s="13"/>
      <c r="E116" s="15"/>
      <c r="F116" s="13"/>
    </row>
    <row r="117" spans="1:6" x14ac:dyDescent="0.25">
      <c r="A117" s="15"/>
      <c r="B117" s="13"/>
      <c r="C117" s="15"/>
      <c r="D117" s="13"/>
      <c r="E117" s="15"/>
      <c r="F117" s="13"/>
    </row>
    <row r="118" spans="1:6" x14ac:dyDescent="0.25">
      <c r="A118" s="15"/>
      <c r="B118" s="13"/>
      <c r="C118" s="15"/>
      <c r="D118" s="13"/>
      <c r="E118" s="15"/>
      <c r="F118" s="13"/>
    </row>
    <row r="119" spans="1:6" x14ac:dyDescent="0.25">
      <c r="A119" s="15"/>
      <c r="B119" s="13"/>
      <c r="C119" s="15"/>
      <c r="D119" s="13"/>
      <c r="E119" s="15"/>
      <c r="F119" s="13"/>
    </row>
    <row r="120" spans="1:6" x14ac:dyDescent="0.25">
      <c r="A120" s="15"/>
      <c r="B120" s="13"/>
      <c r="C120" s="15"/>
      <c r="D120" s="13"/>
      <c r="E120" s="15"/>
      <c r="F120" s="13"/>
    </row>
    <row r="121" spans="1:6" x14ac:dyDescent="0.25">
      <c r="A121" s="15"/>
      <c r="B121" s="13"/>
      <c r="C121" s="15"/>
      <c r="D121" s="13"/>
      <c r="E121" s="15"/>
      <c r="F121" s="13"/>
    </row>
    <row r="122" spans="1:6" x14ac:dyDescent="0.25">
      <c r="A122" s="15"/>
      <c r="B122" s="13"/>
      <c r="C122" s="15"/>
      <c r="D122" s="13"/>
      <c r="E122" s="15"/>
      <c r="F122" s="13"/>
    </row>
    <row r="123" spans="1:6" x14ac:dyDescent="0.25">
      <c r="A123" s="15"/>
      <c r="B123" s="13"/>
      <c r="C123" s="15"/>
      <c r="D123" s="13"/>
      <c r="E123" s="15"/>
      <c r="F123" s="13"/>
    </row>
    <row r="124" spans="1:6" x14ac:dyDescent="0.25">
      <c r="A124" s="15"/>
      <c r="B124" s="13"/>
      <c r="C124" s="15"/>
      <c r="D124" s="13"/>
      <c r="E124" s="15"/>
      <c r="F124" s="13"/>
    </row>
    <row r="125" spans="1:6" x14ac:dyDescent="0.25">
      <c r="A125" s="15"/>
      <c r="B125" s="13"/>
      <c r="C125" s="15"/>
      <c r="D125" s="13"/>
      <c r="E125" s="15"/>
      <c r="F125" s="13"/>
    </row>
    <row r="126" spans="1:6" x14ac:dyDescent="0.25">
      <c r="A126" s="15"/>
      <c r="B126" s="13"/>
      <c r="C126" s="15"/>
      <c r="D126" s="13"/>
      <c r="E126" s="15"/>
      <c r="F126" s="13"/>
    </row>
    <row r="127" spans="1:6" x14ac:dyDescent="0.25">
      <c r="A127" s="15"/>
      <c r="B127" s="13"/>
      <c r="C127" s="15"/>
      <c r="D127" s="13"/>
      <c r="E127" s="15"/>
      <c r="F127" s="13"/>
    </row>
    <row r="128" spans="1:6" x14ac:dyDescent="0.25">
      <c r="A128" s="15"/>
      <c r="B128" s="13"/>
      <c r="C128" s="15"/>
      <c r="D128" s="13"/>
      <c r="E128" s="15"/>
      <c r="F128" s="13"/>
    </row>
    <row r="129" spans="1:6" x14ac:dyDescent="0.25">
      <c r="A129" s="15"/>
      <c r="B129" s="13"/>
      <c r="C129" s="15"/>
      <c r="D129" s="13"/>
      <c r="E129" s="15"/>
      <c r="F129" s="13"/>
    </row>
    <row r="130" spans="1:6" x14ac:dyDescent="0.25">
      <c r="A130" s="15"/>
      <c r="B130" s="13"/>
      <c r="C130" s="15"/>
      <c r="D130" s="13"/>
      <c r="E130" s="15"/>
      <c r="F130" s="13"/>
    </row>
    <row r="131" spans="1:6" x14ac:dyDescent="0.25">
      <c r="A131" s="15"/>
      <c r="B131" s="13"/>
      <c r="C131" s="15"/>
      <c r="D131" s="13"/>
      <c r="E131" s="15"/>
      <c r="F131" s="13"/>
    </row>
    <row r="132" spans="1:6" x14ac:dyDescent="0.25">
      <c r="A132" s="15"/>
      <c r="B132" s="13"/>
      <c r="C132" s="15"/>
      <c r="D132" s="13"/>
      <c r="E132" s="15"/>
      <c r="F132" s="13"/>
    </row>
    <row r="133" spans="1:6" x14ac:dyDescent="0.25">
      <c r="A133" s="15"/>
      <c r="B133" s="13"/>
      <c r="C133" s="15"/>
      <c r="D133" s="13"/>
      <c r="E133" s="15"/>
      <c r="F133" s="13"/>
    </row>
    <row r="134" spans="1:6" x14ac:dyDescent="0.25">
      <c r="A134" s="15"/>
      <c r="B134" s="13"/>
      <c r="C134" s="15"/>
      <c r="D134" s="13"/>
      <c r="E134" s="15"/>
      <c r="F134" s="13"/>
    </row>
    <row r="135" spans="1:6" x14ac:dyDescent="0.25">
      <c r="A135" s="15"/>
      <c r="B135" s="13"/>
      <c r="C135" s="15"/>
      <c r="D135" s="13"/>
      <c r="E135" s="15"/>
      <c r="F135" s="13"/>
    </row>
    <row r="136" spans="1:6" x14ac:dyDescent="0.25">
      <c r="A136" s="15"/>
      <c r="B136" s="13"/>
      <c r="C136" s="15"/>
      <c r="D136" s="13"/>
      <c r="E136" s="15"/>
      <c r="F136" s="13"/>
    </row>
    <row r="137" spans="1:6" x14ac:dyDescent="0.25">
      <c r="A137" s="15"/>
      <c r="B137" s="13"/>
      <c r="C137" s="15"/>
      <c r="D137" s="13"/>
      <c r="E137" s="15"/>
      <c r="F137" s="13"/>
    </row>
    <row r="138" spans="1:6" x14ac:dyDescent="0.25">
      <c r="A138" s="15"/>
      <c r="B138" s="13"/>
      <c r="C138" s="15"/>
      <c r="D138" s="13"/>
      <c r="E138" s="15"/>
      <c r="F138" s="13"/>
    </row>
    <row r="139" spans="1:6" x14ac:dyDescent="0.25">
      <c r="A139" s="15"/>
      <c r="B139" s="13"/>
      <c r="C139" s="15"/>
      <c r="D139" s="13"/>
      <c r="E139" s="15"/>
      <c r="F139" s="13"/>
    </row>
    <row r="140" spans="1:6" x14ac:dyDescent="0.25">
      <c r="A140" s="15"/>
      <c r="B140" s="13"/>
      <c r="C140" s="15"/>
      <c r="D140" s="13"/>
      <c r="E140" s="15"/>
      <c r="F140" s="13"/>
    </row>
    <row r="141" spans="1:6" x14ac:dyDescent="0.25">
      <c r="A141" s="15"/>
      <c r="B141" s="13"/>
      <c r="C141" s="15"/>
      <c r="D141" s="13"/>
      <c r="E141" s="15"/>
      <c r="F141" s="13"/>
    </row>
    <row r="142" spans="1:6" x14ac:dyDescent="0.25">
      <c r="A142" s="15"/>
      <c r="B142" s="13"/>
      <c r="C142" s="15"/>
      <c r="D142" s="13"/>
      <c r="E142" s="15"/>
      <c r="F142" s="13"/>
    </row>
    <row r="143" spans="1:6" x14ac:dyDescent="0.25">
      <c r="A143" s="15"/>
      <c r="B143" s="13"/>
      <c r="C143" s="15"/>
      <c r="D143" s="13"/>
      <c r="E143" s="15"/>
      <c r="F143" s="13"/>
    </row>
    <row r="144" spans="1:6" x14ac:dyDescent="0.25">
      <c r="A144" s="15"/>
      <c r="B144" s="13"/>
      <c r="C144" s="15"/>
      <c r="D144" s="13"/>
      <c r="E144" s="15"/>
      <c r="F144" s="13"/>
    </row>
    <row r="145" spans="1:6" x14ac:dyDescent="0.25">
      <c r="A145" s="15"/>
      <c r="B145" s="13"/>
      <c r="C145" s="15"/>
      <c r="D145" s="13"/>
      <c r="E145" s="15"/>
      <c r="F145" s="13"/>
    </row>
    <row r="146" spans="1:6" x14ac:dyDescent="0.25">
      <c r="A146" s="15"/>
      <c r="B146" s="13"/>
      <c r="C146" s="15"/>
      <c r="D146" s="13"/>
      <c r="E146" s="15"/>
      <c r="F146" s="13"/>
    </row>
    <row r="147" spans="1:6" x14ac:dyDescent="0.25">
      <c r="A147" s="15"/>
      <c r="B147" s="13"/>
      <c r="C147" s="15"/>
      <c r="D147" s="13"/>
      <c r="E147" s="15"/>
      <c r="F147" s="13"/>
    </row>
    <row r="148" spans="1:6" x14ac:dyDescent="0.25">
      <c r="A148" s="15"/>
      <c r="B148" s="13"/>
      <c r="C148" s="15"/>
      <c r="D148" s="13"/>
      <c r="E148" s="15"/>
      <c r="F148" s="13"/>
    </row>
    <row r="149" spans="1:6" x14ac:dyDescent="0.25">
      <c r="A149" s="15"/>
      <c r="B149" s="13"/>
      <c r="C149" s="15"/>
      <c r="D149" s="13"/>
      <c r="E149" s="15"/>
      <c r="F149" s="13"/>
    </row>
    <row r="150" spans="1:6" x14ac:dyDescent="0.25">
      <c r="A150" s="15"/>
      <c r="B150" s="13"/>
      <c r="C150" s="15"/>
      <c r="D150" s="13"/>
      <c r="E150" s="15"/>
      <c r="F150" s="13"/>
    </row>
    <row r="151" spans="1:6" x14ac:dyDescent="0.25">
      <c r="A151" s="15"/>
      <c r="B151" s="13"/>
      <c r="C151" s="15"/>
      <c r="D151" s="13"/>
      <c r="E151" s="15"/>
      <c r="F151" s="13"/>
    </row>
    <row r="152" spans="1:6" x14ac:dyDescent="0.25">
      <c r="A152" s="15"/>
      <c r="B152" s="13"/>
      <c r="C152" s="15"/>
      <c r="D152" s="13"/>
      <c r="E152" s="15"/>
      <c r="F152" s="13"/>
    </row>
    <row r="153" spans="1:6" x14ac:dyDescent="0.25">
      <c r="A153" s="15"/>
      <c r="B153" s="13"/>
      <c r="C153" s="15"/>
      <c r="D153" s="13"/>
      <c r="E153" s="15"/>
      <c r="F153" s="13"/>
    </row>
    <row r="154" spans="1:6" x14ac:dyDescent="0.25">
      <c r="A154" s="15"/>
      <c r="B154" s="13"/>
      <c r="C154" s="15"/>
      <c r="D154" s="13"/>
      <c r="E154" s="15"/>
      <c r="F154" s="13"/>
    </row>
    <row r="155" spans="1:6" ht="19.5" customHeight="1" x14ac:dyDescent="0.25">
      <c r="A155" s="9"/>
      <c r="B155" s="10"/>
      <c r="C155" s="11"/>
      <c r="D155" s="12"/>
    </row>
    <row r="156" spans="1:6" x14ac:dyDescent="0.25">
      <c r="A156" s="9"/>
      <c r="B156" s="10"/>
      <c r="C156" s="11"/>
      <c r="D156" s="12"/>
    </row>
    <row r="157" spans="1:6" x14ac:dyDescent="0.25">
      <c r="A157" s="9"/>
      <c r="B157" s="10"/>
      <c r="C157" s="11"/>
      <c r="D157" s="12"/>
    </row>
    <row r="158" spans="1:6" x14ac:dyDescent="0.25">
      <c r="A158" s="9"/>
      <c r="B158" s="10"/>
      <c r="D158" s="12"/>
    </row>
    <row r="159" spans="1:6" x14ac:dyDescent="0.25">
      <c r="A159" s="9"/>
      <c r="B159" s="10"/>
      <c r="D159" s="12"/>
    </row>
    <row r="160" spans="1:6" x14ac:dyDescent="0.25">
      <c r="D160" s="12"/>
    </row>
    <row r="161" spans="4:4" x14ac:dyDescent="0.25">
      <c r="D161" s="12"/>
    </row>
    <row r="162" spans="4:4" x14ac:dyDescent="0.25">
      <c r="D162" s="12"/>
    </row>
    <row r="163" spans="4:4" x14ac:dyDescent="0.25">
      <c r="D163" s="12"/>
    </row>
  </sheetData>
  <sheetProtection algorithmName="SHA-512" hashValue="4EV6YOF+lNN/owHOvrNWhhmtZMP2NJxQpIe3fUp392vW/kGeQVeq5Tlow8hzDPzItrfrtsSuJqpuYwwjNKBj1g==" saltValue="imR49u2ojHeVI/shr8IGcA==" spinCount="100000" sheet="1" objects="1" scenarios="1" selectLockedCells="1"/>
  <mergeCells count="2">
    <mergeCell ref="A1:D1"/>
    <mergeCell ref="A2:D2"/>
  </mergeCells>
  <dataValidations count="7">
    <dataValidation allowBlank="1" showInputMessage="1" showErrorMessage="1" prompt="Please input your registered business name as appears on your BoG License" sqref="C4" xr:uid="{00000000-0002-0000-0300-000000000000}"/>
    <dataValidation allowBlank="1" showInputMessage="1" showErrorMessage="1" prompt="Please input the MCAG membership ID given to you by MCAG here." sqref="C5" xr:uid="{00000000-0002-0000-0300-000001000000}"/>
    <dataValidation allowBlank="1" showInputMessage="1" showErrorMessage="1" prompt="Please state the period covered by the report (e.g. October-December 2014 for quarter ending December 2014)." sqref="C7" xr:uid="{00000000-0002-0000-0300-000002000000}"/>
    <dataValidation allowBlank="1" showInputMessage="1" showErrorMessage="1" prompt="Please state Month/Year ending the reporting period (e.g. 12/2014 for quarter ending December 2014)" sqref="C8" xr:uid="{00000000-0002-0000-0300-000003000000}"/>
    <dataValidation allowBlank="1" showInputMessage="1" showErrorMessage="1" prompt="Please select code representing validation type of report (&quot;MLAG-PR-UA&quot; is for performance report unaudited - mainly quarterly; &quot;MLAG-PR-A&quot; is for performance report audited - mainly annual)" sqref="C6" xr:uid="{00000000-0002-0000-0300-000004000000}"/>
    <dataValidation type="whole" operator="lessThan" allowBlank="1" showInputMessage="1" showErrorMessage="1" prompt="Please enter negative value here" sqref="D60 D54" xr:uid="{00000000-0002-0000-0300-000005000000}">
      <formula1>0</formula1>
    </dataValidation>
    <dataValidation type="custom" allowBlank="1" showInputMessage="1" showErrorMessage="1" error="Please enter a valid amount to proceed" prompt="Please make sure that your input is an amount value." sqref="D13:D17 D27:D28 D20:D24 D42:D46 D38 D35:D36 D30:D32" xr:uid="{00000000-0002-0000-0300-000006000000}">
      <formula1>ISNUMBER(D13)</formula1>
    </dataValidation>
  </dataValidation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F54"/>
  <sheetViews>
    <sheetView workbookViewId="0">
      <selection activeCell="D35" sqref="D35"/>
    </sheetView>
  </sheetViews>
  <sheetFormatPr defaultRowHeight="15.75" x14ac:dyDescent="0.25"/>
  <cols>
    <col min="1" max="1" width="6.7109375" style="14" customWidth="1"/>
    <col min="2" max="2" width="52.5703125" style="57" customWidth="1"/>
    <col min="3" max="3" width="78.7109375" style="58" customWidth="1"/>
    <col min="4" max="4" width="29.28515625" style="16" customWidth="1"/>
    <col min="5" max="5" width="10.42578125" style="18" customWidth="1"/>
    <col min="6" max="6" width="10.5703125" style="18" customWidth="1"/>
    <col min="7" max="16384" width="9.140625" style="18"/>
  </cols>
  <sheetData>
    <row r="1" spans="1:6" s="19" customFormat="1" ht="18.75" x14ac:dyDescent="0.25">
      <c r="A1" s="280" t="str">
        <f>'Profit &amp; Loss Statement'!A1:D1</f>
        <v>MICRO – CREDIT ASSOCIATION GHANA</v>
      </c>
      <c r="B1" s="280"/>
      <c r="C1" s="280"/>
      <c r="D1" s="280"/>
      <c r="E1" s="17">
        <f>SUM(D4:D10) + IF(D43=D24,0,1) + IF(D13="",1,0) + IF(D13=0,1,0) + IF(D16="",1,0) + IF(D16=0,1,0) + IF(D17=0,1,0)</f>
        <v>11</v>
      </c>
      <c r="F1" s="56" t="str">
        <f>IF(D43&lt;&gt;D24,"Error!", IF(SUM(D4:D9)&gt;0, "Error!", ""))</f>
        <v>Error!</v>
      </c>
    </row>
    <row r="2" spans="1:6" s="19" customFormat="1" ht="18.75" x14ac:dyDescent="0.25">
      <c r="A2" s="280" t="str">
        <f>'Profit &amp; Loss Statement'!A2:D2</f>
        <v>MEMBERS REPORTING TEMPLATE</v>
      </c>
      <c r="B2" s="280"/>
      <c r="C2" s="280"/>
      <c r="D2" s="280"/>
    </row>
    <row r="3" spans="1:6" x14ac:dyDescent="0.25">
      <c r="A3" s="20"/>
    </row>
    <row r="4" spans="1:6" s="21" customFormat="1" x14ac:dyDescent="0.25">
      <c r="A4" s="16"/>
      <c r="B4" s="22" t="s">
        <v>9</v>
      </c>
      <c r="C4" s="59" t="str">
        <f>IF('Profit &amp; Loss Statement'!C4 = "", "", 'Profit &amp; Loss Statement'!C4)</f>
        <v/>
      </c>
      <c r="D4" s="23">
        <f>IF(C4= "",1,0)</f>
        <v>1</v>
      </c>
    </row>
    <row r="5" spans="1:6" s="21" customFormat="1" x14ac:dyDescent="0.25">
      <c r="A5" s="16"/>
      <c r="B5" s="22" t="s">
        <v>10</v>
      </c>
      <c r="C5" s="59" t="str">
        <f>IF('Profit &amp; Loss Statement'!C5 = "", "", 'Profit &amp; Loss Statement'!C5)</f>
        <v/>
      </c>
      <c r="D5" s="23">
        <f>IF(C5= "",1,0)</f>
        <v>1</v>
      </c>
    </row>
    <row r="6" spans="1:6" s="24" customFormat="1" x14ac:dyDescent="0.25">
      <c r="A6" s="60"/>
      <c r="B6" s="22" t="s">
        <v>11</v>
      </c>
      <c r="C6" s="258" t="str">
        <f>IF('Profit &amp; Loss Statement'!C6 = "", "", 'Profit &amp; Loss Statement'!C6)</f>
        <v xml:space="preserve">MCAG-PR-UA </v>
      </c>
      <c r="D6" s="23">
        <f>IF(C6= "",1,0)</f>
        <v>0</v>
      </c>
    </row>
    <row r="7" spans="1:6" s="21" customFormat="1" x14ac:dyDescent="0.25">
      <c r="A7" s="16"/>
      <c r="B7" s="22" t="s">
        <v>12</v>
      </c>
      <c r="C7" s="59" t="str">
        <f>IF('Profit &amp; Loss Statement'!C7 = "", "", 'Profit &amp; Loss Statement'!C7)</f>
        <v/>
      </c>
      <c r="D7" s="23">
        <f>IF(C7= "",1,0)</f>
        <v>1</v>
      </c>
    </row>
    <row r="8" spans="1:6" s="24" customFormat="1" x14ac:dyDescent="0.25">
      <c r="A8" s="60"/>
      <c r="B8" s="22" t="s">
        <v>13</v>
      </c>
      <c r="C8" s="61" t="str">
        <f>IF('Profit &amp; Loss Statement'!C8 = "", "", 'Profit &amp; Loss Statement'!C8)</f>
        <v/>
      </c>
      <c r="D8" s="23">
        <f>IF(C8="",1, 0)</f>
        <v>1</v>
      </c>
    </row>
    <row r="9" spans="1:6" s="26" customFormat="1" x14ac:dyDescent="0.25">
      <c r="A9" s="25"/>
      <c r="B9" s="22" t="s">
        <v>14</v>
      </c>
      <c r="C9" s="259" t="str">
        <f>'Profit &amp; Loss Statement'!C9</f>
        <v/>
      </c>
      <c r="D9" s="23">
        <f>IF(C9="",1, 0)</f>
        <v>1</v>
      </c>
    </row>
    <row r="10" spans="1:6" s="26" customFormat="1" x14ac:dyDescent="0.25">
      <c r="A10" s="25"/>
      <c r="B10" s="22" t="s">
        <v>689</v>
      </c>
      <c r="C10" s="261" t="str">
        <f>IF('Cover Sheet'!C10="", "", 'Cover Sheet'!C10)</f>
        <v/>
      </c>
      <c r="D10" s="27">
        <f>IF(C10="",1, 0)</f>
        <v>1</v>
      </c>
    </row>
    <row r="11" spans="1:6" x14ac:dyDescent="0.25">
      <c r="A11" s="82" t="s">
        <v>114</v>
      </c>
      <c r="B11" s="83" t="s">
        <v>115</v>
      </c>
      <c r="C11" s="84"/>
      <c r="D11" s="85"/>
    </row>
    <row r="12" spans="1:6" x14ac:dyDescent="0.25">
      <c r="A12" s="86"/>
      <c r="B12" s="87" t="s">
        <v>116</v>
      </c>
      <c r="C12" s="88"/>
      <c r="D12" s="89" t="s">
        <v>20</v>
      </c>
    </row>
    <row r="13" spans="1:6" ht="30" x14ac:dyDescent="0.25">
      <c r="A13" s="30" t="s">
        <v>117</v>
      </c>
      <c r="B13" s="62" t="s">
        <v>118</v>
      </c>
      <c r="C13" s="63" t="s">
        <v>119</v>
      </c>
      <c r="D13" s="5"/>
      <c r="E13" s="251" t="str">
        <f>IF(D13="","Error!", IF(D13=0, "Error!", ""))</f>
        <v>Error!</v>
      </c>
    </row>
    <row r="14" spans="1:6" ht="30" x14ac:dyDescent="0.25">
      <c r="A14" s="30" t="s">
        <v>120</v>
      </c>
      <c r="B14" s="62" t="s">
        <v>121</v>
      </c>
      <c r="C14" s="63" t="s">
        <v>122</v>
      </c>
      <c r="D14" s="5"/>
    </row>
    <row r="15" spans="1:6" ht="60" x14ac:dyDescent="0.25">
      <c r="A15" s="30" t="s">
        <v>123</v>
      </c>
      <c r="B15" s="62" t="s">
        <v>124</v>
      </c>
      <c r="C15" s="63" t="s">
        <v>125</v>
      </c>
      <c r="D15" s="5"/>
    </row>
    <row r="16" spans="1:6" ht="60" x14ac:dyDescent="0.25">
      <c r="A16" s="30" t="s">
        <v>126</v>
      </c>
      <c r="B16" s="62" t="s">
        <v>127</v>
      </c>
      <c r="C16" s="63" t="s">
        <v>128</v>
      </c>
      <c r="D16" s="5"/>
      <c r="E16" s="251" t="str">
        <f>IF(D16="","Error!", IF(D16=0, "Error!", ""))</f>
        <v>Error!</v>
      </c>
    </row>
    <row r="17" spans="1:5" ht="75" x14ac:dyDescent="0.25">
      <c r="A17" s="30" t="s">
        <v>129</v>
      </c>
      <c r="B17" s="62" t="s">
        <v>130</v>
      </c>
      <c r="C17" s="63" t="s">
        <v>131</v>
      </c>
      <c r="D17" s="79">
        <f>-'Portfolio Report'!H27</f>
        <v>0</v>
      </c>
      <c r="E17" s="273" t="str">
        <f>IF(D17=0,"Error!","")</f>
        <v>Error!</v>
      </c>
    </row>
    <row r="18" spans="1:5" ht="30" x14ac:dyDescent="0.25">
      <c r="A18" s="30" t="s">
        <v>132</v>
      </c>
      <c r="B18" s="35" t="s">
        <v>133</v>
      </c>
      <c r="C18" s="63" t="s">
        <v>134</v>
      </c>
      <c r="D18" s="79">
        <f>D16+D17</f>
        <v>0</v>
      </c>
    </row>
    <row r="19" spans="1:5" ht="60" x14ac:dyDescent="0.25">
      <c r="A19" s="30" t="s">
        <v>135</v>
      </c>
      <c r="B19" s="62" t="s">
        <v>136</v>
      </c>
      <c r="C19" s="63" t="s">
        <v>137</v>
      </c>
      <c r="D19" s="5"/>
    </row>
    <row r="20" spans="1:5" ht="60" x14ac:dyDescent="0.25">
      <c r="A20" s="30" t="s">
        <v>138</v>
      </c>
      <c r="B20" s="62" t="s">
        <v>139</v>
      </c>
      <c r="C20" s="63" t="s">
        <v>140</v>
      </c>
      <c r="D20" s="5"/>
    </row>
    <row r="21" spans="1:5" ht="30" x14ac:dyDescent="0.25">
      <c r="A21" s="30" t="s">
        <v>141</v>
      </c>
      <c r="B21" s="62" t="s">
        <v>142</v>
      </c>
      <c r="C21" s="63" t="s">
        <v>143</v>
      </c>
      <c r="D21" s="5"/>
    </row>
    <row r="22" spans="1:5" ht="75" x14ac:dyDescent="0.25">
      <c r="A22" s="30" t="s">
        <v>144</v>
      </c>
      <c r="B22" s="62" t="s">
        <v>145</v>
      </c>
      <c r="C22" s="63" t="s">
        <v>146</v>
      </c>
      <c r="D22" s="65"/>
    </row>
    <row r="23" spans="1:5" x14ac:dyDescent="0.25">
      <c r="A23" s="30" t="s">
        <v>147</v>
      </c>
      <c r="B23" s="35" t="s">
        <v>148</v>
      </c>
      <c r="C23" s="63" t="s">
        <v>149</v>
      </c>
      <c r="D23" s="79">
        <f>D21+D22</f>
        <v>0</v>
      </c>
    </row>
    <row r="24" spans="1:5" x14ac:dyDescent="0.25">
      <c r="A24" s="30" t="s">
        <v>150</v>
      </c>
      <c r="B24" s="35" t="s">
        <v>151</v>
      </c>
      <c r="C24" s="63"/>
      <c r="D24" s="80">
        <f>ROUND((D13+D14+D15+D18+D19+D20+D23),2)</f>
        <v>0</v>
      </c>
    </row>
    <row r="25" spans="1:5" s="47" customFormat="1" x14ac:dyDescent="0.25">
      <c r="A25" s="200"/>
      <c r="B25" s="201" t="s">
        <v>152</v>
      </c>
      <c r="C25" s="202"/>
      <c r="D25" s="203"/>
    </row>
    <row r="26" spans="1:5" ht="45" x14ac:dyDescent="0.25">
      <c r="A26" s="30" t="s">
        <v>153</v>
      </c>
      <c r="B26" s="66" t="s">
        <v>154</v>
      </c>
      <c r="C26" s="67" t="s">
        <v>155</v>
      </c>
      <c r="D26" s="5"/>
    </row>
    <row r="27" spans="1:5" ht="75" x14ac:dyDescent="0.25">
      <c r="A27" s="30" t="s">
        <v>156</v>
      </c>
      <c r="B27" s="62" t="s">
        <v>157</v>
      </c>
      <c r="C27" s="63" t="s">
        <v>158</v>
      </c>
      <c r="D27" s="5"/>
    </row>
    <row r="28" spans="1:5" ht="45" x14ac:dyDescent="0.25">
      <c r="A28" s="30" t="s">
        <v>159</v>
      </c>
      <c r="B28" s="62" t="s">
        <v>160</v>
      </c>
      <c r="C28" s="63" t="s">
        <v>161</v>
      </c>
      <c r="D28" s="5"/>
    </row>
    <row r="29" spans="1:5" x14ac:dyDescent="0.25">
      <c r="A29" s="30" t="s">
        <v>162</v>
      </c>
      <c r="B29" s="35" t="s">
        <v>163</v>
      </c>
      <c r="C29" s="63"/>
      <c r="D29" s="80">
        <f>D27+D28</f>
        <v>0</v>
      </c>
    </row>
    <row r="30" spans="1:5" ht="45" x14ac:dyDescent="0.25">
      <c r="A30" s="30" t="s">
        <v>164</v>
      </c>
      <c r="B30" s="62" t="s">
        <v>165</v>
      </c>
      <c r="C30" s="63" t="s">
        <v>166</v>
      </c>
      <c r="D30" s="5"/>
    </row>
    <row r="31" spans="1:5" ht="60" x14ac:dyDescent="0.25">
      <c r="A31" s="30" t="s">
        <v>167</v>
      </c>
      <c r="B31" s="62" t="s">
        <v>168</v>
      </c>
      <c r="C31" s="63" t="s">
        <v>169</v>
      </c>
      <c r="D31" s="5"/>
    </row>
    <row r="32" spans="1:5" ht="25.5" x14ac:dyDescent="0.25">
      <c r="A32" s="30" t="s">
        <v>170</v>
      </c>
      <c r="B32" s="62" t="s">
        <v>171</v>
      </c>
      <c r="C32" s="32" t="s">
        <v>172</v>
      </c>
      <c r="D32" s="5"/>
    </row>
    <row r="33" spans="1:5" x14ac:dyDescent="0.25">
      <c r="A33" s="30" t="s">
        <v>173</v>
      </c>
      <c r="B33" s="35" t="s">
        <v>174</v>
      </c>
      <c r="C33" s="63"/>
      <c r="D33" s="80">
        <f>D26+D29+D30+D31+D32</f>
        <v>0</v>
      </c>
    </row>
    <row r="34" spans="1:5" ht="19.5" customHeight="1" x14ac:dyDescent="0.25">
      <c r="A34" s="204"/>
      <c r="B34" s="204" t="s">
        <v>175</v>
      </c>
      <c r="C34" s="205"/>
      <c r="D34" s="206"/>
    </row>
    <row r="35" spans="1:5" ht="45" x14ac:dyDescent="0.25">
      <c r="A35" s="30" t="s">
        <v>176</v>
      </c>
      <c r="B35" s="59" t="s">
        <v>177</v>
      </c>
      <c r="C35" s="63" t="s">
        <v>178</v>
      </c>
      <c r="D35" s="5"/>
    </row>
    <row r="36" spans="1:5" ht="30" x14ac:dyDescent="0.25">
      <c r="A36" s="30">
        <v>2.2200000000000002</v>
      </c>
      <c r="B36" s="59" t="s">
        <v>684</v>
      </c>
      <c r="C36" s="63" t="s">
        <v>707</v>
      </c>
      <c r="D36" s="5"/>
    </row>
    <row r="37" spans="1:5" x14ac:dyDescent="0.25">
      <c r="A37" s="30">
        <v>2.23</v>
      </c>
      <c r="B37" s="68" t="s">
        <v>179</v>
      </c>
      <c r="C37" s="63" t="s">
        <v>180</v>
      </c>
      <c r="D37" s="5"/>
    </row>
    <row r="38" spans="1:5" x14ac:dyDescent="0.25">
      <c r="A38" s="30">
        <v>2.2400000000000002</v>
      </c>
      <c r="B38" s="68" t="s">
        <v>181</v>
      </c>
      <c r="C38" s="63" t="s">
        <v>182</v>
      </c>
      <c r="D38" s="5"/>
    </row>
    <row r="39" spans="1:5" ht="30" x14ac:dyDescent="0.25">
      <c r="A39" s="30">
        <v>2.25</v>
      </c>
      <c r="B39" s="68" t="s">
        <v>710</v>
      </c>
      <c r="C39" s="63" t="s">
        <v>183</v>
      </c>
      <c r="D39" s="5"/>
    </row>
    <row r="40" spans="1:5" ht="19.5" customHeight="1" x14ac:dyDescent="0.25">
      <c r="A40" s="30">
        <v>2.2599999999999998</v>
      </c>
      <c r="B40" s="68" t="s">
        <v>711</v>
      </c>
      <c r="C40" s="63" t="s">
        <v>184</v>
      </c>
      <c r="D40" s="272">
        <f>'Profit &amp; Loss Statement'!D39</f>
        <v>0</v>
      </c>
    </row>
    <row r="41" spans="1:5" x14ac:dyDescent="0.25">
      <c r="A41" s="30">
        <v>2.27</v>
      </c>
      <c r="B41" s="68" t="s">
        <v>185</v>
      </c>
      <c r="C41" s="63" t="s">
        <v>186</v>
      </c>
      <c r="D41" s="5"/>
    </row>
    <row r="42" spans="1:5" x14ac:dyDescent="0.25">
      <c r="A42" s="30">
        <v>2.2799999999999998</v>
      </c>
      <c r="B42" s="35" t="s">
        <v>187</v>
      </c>
      <c r="C42" s="63" t="s">
        <v>686</v>
      </c>
      <c r="D42" s="80">
        <f>SUM(D35:D41)</f>
        <v>0</v>
      </c>
    </row>
    <row r="43" spans="1:5" x14ac:dyDescent="0.25">
      <c r="A43" s="30">
        <v>2.29</v>
      </c>
      <c r="B43" s="35" t="s">
        <v>188</v>
      </c>
      <c r="C43" s="63" t="s">
        <v>687</v>
      </c>
      <c r="D43" s="80">
        <f>ROUND((D33+D42),2)</f>
        <v>0</v>
      </c>
      <c r="E43" s="69" t="str">
        <f>IF(D43=D24,"","Error!")</f>
        <v/>
      </c>
    </row>
    <row r="44" spans="1:5" x14ac:dyDescent="0.25">
      <c r="A44" s="29"/>
      <c r="B44" s="70"/>
      <c r="C44" s="71"/>
      <c r="D44" s="64"/>
    </row>
    <row r="45" spans="1:5" x14ac:dyDescent="0.25">
      <c r="A45" s="207"/>
      <c r="B45" s="197" t="s">
        <v>189</v>
      </c>
      <c r="C45" s="198"/>
      <c r="D45" s="208"/>
    </row>
    <row r="46" spans="1:5" ht="25.5" x14ac:dyDescent="0.25">
      <c r="A46" s="7" t="s">
        <v>688</v>
      </c>
      <c r="B46" s="32" t="s">
        <v>190</v>
      </c>
      <c r="C46" s="32" t="s">
        <v>191</v>
      </c>
      <c r="D46" s="4"/>
    </row>
    <row r="47" spans="1:5" ht="15" x14ac:dyDescent="0.25">
      <c r="A47" s="7">
        <v>2.31</v>
      </c>
      <c r="B47" s="72" t="s">
        <v>192</v>
      </c>
      <c r="C47" s="32" t="s">
        <v>193</v>
      </c>
      <c r="D47" s="73"/>
    </row>
    <row r="48" spans="1:5" ht="25.5" x14ac:dyDescent="0.25">
      <c r="A48" s="74">
        <v>2.3199999999999998</v>
      </c>
      <c r="B48" s="72" t="s">
        <v>194</v>
      </c>
      <c r="C48" s="32" t="s">
        <v>195</v>
      </c>
      <c r="D48" s="4"/>
    </row>
    <row r="49" spans="1:4" ht="38.25" x14ac:dyDescent="0.25">
      <c r="A49" s="75">
        <v>2.33</v>
      </c>
      <c r="B49" s="76" t="s">
        <v>196</v>
      </c>
      <c r="C49" s="32" t="s">
        <v>197</v>
      </c>
      <c r="D49" s="77"/>
    </row>
    <row r="50" spans="1:4" ht="25.5" x14ac:dyDescent="0.25">
      <c r="A50" s="75">
        <v>2.34</v>
      </c>
      <c r="B50" s="76" t="s">
        <v>198</v>
      </c>
      <c r="C50" s="32" t="s">
        <v>199</v>
      </c>
      <c r="D50" s="77"/>
    </row>
    <row r="51" spans="1:4" ht="25.5" x14ac:dyDescent="0.25">
      <c r="A51" s="75">
        <v>2.35</v>
      </c>
      <c r="B51" s="76" t="s">
        <v>200</v>
      </c>
      <c r="C51" s="32" t="s">
        <v>201</v>
      </c>
      <c r="D51" s="77"/>
    </row>
    <row r="52" spans="1:4" ht="25.5" x14ac:dyDescent="0.25">
      <c r="A52" s="78">
        <v>2.36</v>
      </c>
      <c r="B52" s="76" t="s">
        <v>202</v>
      </c>
      <c r="C52" s="32" t="s">
        <v>203</v>
      </c>
      <c r="D52" s="77"/>
    </row>
    <row r="53" spans="1:4" ht="38.25" x14ac:dyDescent="0.25">
      <c r="A53" s="75">
        <v>2.37</v>
      </c>
      <c r="B53" s="76" t="s">
        <v>204</v>
      </c>
      <c r="C53" s="32" t="s">
        <v>205</v>
      </c>
      <c r="D53" s="81">
        <f>D47+D49</f>
        <v>0</v>
      </c>
    </row>
    <row r="54" spans="1:4" ht="15" x14ac:dyDescent="0.25">
      <c r="A54" s="78">
        <v>2.42</v>
      </c>
      <c r="B54" s="76" t="s">
        <v>206</v>
      </c>
      <c r="C54" s="76"/>
      <c r="D54" s="77"/>
    </row>
  </sheetData>
  <sheetProtection algorithmName="SHA-512" hashValue="sOmDCzh0+6H5eeUq2Oh7mVzMDONFDqcrZb7apLwlD5AESF9gl4tNcToIpZ7Gn0K1loIZSwx6yIXXRBtjujvnZQ==" saltValue="fCa1qjVgAwFi0SmAUPU4zw==" spinCount="100000" sheet="1" selectLockedCells="1"/>
  <mergeCells count="2">
    <mergeCell ref="A1:D1"/>
    <mergeCell ref="A2:D2"/>
  </mergeCells>
  <dataValidations count="6">
    <dataValidation allowBlank="1" showInputMessage="1" showErrorMessage="1" prompt="This value should be the same as the value for total assets" sqref="D43" xr:uid="{00000000-0002-0000-0400-000000000000}"/>
    <dataValidation type="decimal" operator="lessThanOrEqual" allowBlank="1" showInputMessage="1" showErrorMessage="1" prompt="Please enter negative value here" sqref="D17" xr:uid="{00000000-0002-0000-0400-000001000000}">
      <formula1>0</formula1>
    </dataValidation>
    <dataValidation type="custom" allowBlank="1" showInputMessage="1" showErrorMessage="1" error="Please enter a valid amount to proceed" prompt="Please make sure that your input is an amount value." sqref="D46:D51 D19:D22 D26:D28 D30:D32 D13:D16 D35 D37:D39 D41" xr:uid="{00000000-0002-0000-0400-000002000000}">
      <formula1>ISNUMBER(D13)</formula1>
    </dataValidation>
    <dataValidation type="whole" operator="greaterThanOrEqual" allowBlank="1" showInputMessage="1" showErrorMessage="1" error="Please enter a valid number to proceed" prompt="Please make sure that your input is a number." sqref="D52 D54" xr:uid="{00000000-0002-0000-0400-000003000000}">
      <formula1>0</formula1>
    </dataValidation>
    <dataValidation type="decimal" operator="lessThan" allowBlank="1" showInputMessage="1" showErrorMessage="1" error="Please enter a negative amount to proceed" prompt="Please make sure that your input is a negative value." sqref="D36" xr:uid="{00000000-0002-0000-0400-000004000000}">
      <formula1>0</formula1>
    </dataValidation>
    <dataValidation type="custom" allowBlank="1" showInputMessage="1" showErrorMessage="1" sqref="D40" xr:uid="{00000000-0002-0000-0400-000005000000}">
      <formula1>ISNUMBER(D40)</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J54"/>
  <sheetViews>
    <sheetView topLeftCell="C20" workbookViewId="0">
      <selection activeCell="H18" sqref="H18"/>
    </sheetView>
  </sheetViews>
  <sheetFormatPr defaultRowHeight="15.75" x14ac:dyDescent="0.25"/>
  <cols>
    <col min="1" max="1" width="6.7109375" style="14" customWidth="1"/>
    <col min="2" max="2" width="56.5703125" style="57" customWidth="1"/>
    <col min="3" max="3" width="63" style="58" customWidth="1"/>
    <col min="4" max="4" width="29.28515625" style="16" customWidth="1"/>
    <col min="5" max="5" width="31.140625" style="91" customWidth="1"/>
    <col min="6" max="6" width="12.7109375" style="91" customWidth="1"/>
    <col min="7" max="7" width="15" style="91" customWidth="1"/>
    <col min="8" max="8" width="14.5703125" style="91" customWidth="1"/>
    <col min="9" max="10" width="9.140625" style="91"/>
    <col min="11" max="16384" width="9.140625" style="18"/>
  </cols>
  <sheetData>
    <row r="1" spans="1:10" s="19" customFormat="1" ht="18.75" x14ac:dyDescent="0.25">
      <c r="A1" s="280" t="str">
        <f>'Profit &amp; Loss Statement'!A1:D1</f>
        <v>MICRO – CREDIT ASSOCIATION GHANA</v>
      </c>
      <c r="B1" s="280"/>
      <c r="C1" s="280"/>
      <c r="D1" s="280"/>
      <c r="E1" s="17">
        <f>SUM(D4:D10) +  IF(E13=E27,0,1) +  IF(E13=E51,0,1) + IF(H27&gt;=G27,0,1)</f>
        <v>6</v>
      </c>
      <c r="F1" s="56" t="str">
        <f>IF(SUM(D4:D9)&gt;0, "Error!", IF(E27&lt;&gt;E13, "Error!", IF(E51&lt;&gt;E13,"Error!", "")))</f>
        <v>Error!</v>
      </c>
      <c r="G1" s="90"/>
      <c r="H1" s="90"/>
      <c r="I1" s="90"/>
      <c r="J1" s="90"/>
    </row>
    <row r="2" spans="1:10" s="19" customFormat="1" ht="18.75" x14ac:dyDescent="0.25">
      <c r="A2" s="280" t="str">
        <f>'Profit &amp; Loss Statement'!A2:D2</f>
        <v>MEMBERS REPORTING TEMPLATE</v>
      </c>
      <c r="B2" s="280"/>
      <c r="C2" s="280"/>
      <c r="D2" s="280"/>
      <c r="E2" s="90"/>
      <c r="F2" s="90"/>
      <c r="G2" s="90"/>
      <c r="H2" s="90"/>
      <c r="I2" s="90"/>
      <c r="J2" s="90"/>
    </row>
    <row r="3" spans="1:10" x14ac:dyDescent="0.25">
      <c r="A3" s="20"/>
    </row>
    <row r="4" spans="1:10" s="21" customFormat="1" x14ac:dyDescent="0.25">
      <c r="A4" s="59"/>
      <c r="B4" s="22" t="s">
        <v>9</v>
      </c>
      <c r="C4" s="59" t="str">
        <f>IF('Profit &amp; Loss Statement'!C4 = "", "", 'Profit &amp; Loss Statement'!C4)</f>
        <v/>
      </c>
      <c r="D4" s="23">
        <f>IF(C4="",1,IF(ISTEXT(C4),0,1))+IF(OR(ISNUMBER(LEFT(C4)),LEFT(C4)=" "),1,0)</f>
        <v>1</v>
      </c>
      <c r="E4" s="16"/>
      <c r="F4" s="16"/>
      <c r="G4" s="16"/>
      <c r="H4" s="16"/>
      <c r="I4" s="16"/>
      <c r="J4" s="16"/>
    </row>
    <row r="5" spans="1:10" s="21" customFormat="1" x14ac:dyDescent="0.25">
      <c r="A5" s="59"/>
      <c r="B5" s="22" t="s">
        <v>10</v>
      </c>
      <c r="C5" s="59" t="str">
        <f>IF('Profit &amp; Loss Statement'!C5 = "", "", 'Profit &amp; Loss Statement'!C5)</f>
        <v/>
      </c>
      <c r="D5" s="23">
        <f>IF(C5="",1,IF(ISTEXT(C5),0,1))+IF(OR(ISNUMBER(LEFT(C5)),LEFT(C5)=" "),1,0)</f>
        <v>1</v>
      </c>
      <c r="E5" s="16"/>
      <c r="F5" s="16"/>
      <c r="G5" s="16"/>
      <c r="H5" s="16"/>
      <c r="I5" s="16"/>
      <c r="J5" s="16"/>
    </row>
    <row r="6" spans="1:10" s="24" customFormat="1" x14ac:dyDescent="0.25">
      <c r="A6" s="28"/>
      <c r="B6" s="22" t="s">
        <v>11</v>
      </c>
      <c r="C6" s="256" t="str">
        <f>IF('Profit &amp; Loss Statement'!C6 = "", "", 'Profit &amp; Loss Statement'!C6)</f>
        <v xml:space="preserve">MCAG-PR-UA </v>
      </c>
      <c r="D6" s="23">
        <f>IF(C6="",1,IF(ISTEXT(C6),0,1))</f>
        <v>0</v>
      </c>
      <c r="E6" s="60"/>
      <c r="F6" s="60"/>
      <c r="G6" s="60"/>
      <c r="H6" s="60"/>
      <c r="I6" s="60"/>
      <c r="J6" s="60"/>
    </row>
    <row r="7" spans="1:10" s="21" customFormat="1" x14ac:dyDescent="0.25">
      <c r="A7" s="59"/>
      <c r="B7" s="22" t="s">
        <v>12</v>
      </c>
      <c r="C7" s="59" t="str">
        <f>IF('Profit &amp; Loss Statement'!C7 = "", "", 'Profit &amp; Loss Statement'!C7)</f>
        <v/>
      </c>
      <c r="D7" s="23">
        <f>IF(C7="",1,IF(ISTEXT(C7),0,1))</f>
        <v>1</v>
      </c>
      <c r="E7" s="16"/>
      <c r="F7" s="16"/>
      <c r="G7" s="16"/>
      <c r="H7" s="16"/>
      <c r="I7" s="16"/>
      <c r="J7" s="16"/>
    </row>
    <row r="8" spans="1:10" s="24" customFormat="1" x14ac:dyDescent="0.25">
      <c r="A8" s="28"/>
      <c r="B8" s="22" t="s">
        <v>13</v>
      </c>
      <c r="C8" s="61" t="str">
        <f>IF('Profit &amp; Loss Statement'!C8 = "", "", 'Profit &amp; Loss Statement'!C8)</f>
        <v/>
      </c>
      <c r="D8" s="23">
        <f>IF(C8="",1, 0)</f>
        <v>1</v>
      </c>
      <c r="E8" s="60"/>
      <c r="F8" s="60"/>
      <c r="G8" s="60"/>
      <c r="H8" s="60"/>
      <c r="I8" s="60"/>
      <c r="J8" s="60"/>
    </row>
    <row r="9" spans="1:10" s="26" customFormat="1" x14ac:dyDescent="0.25">
      <c r="A9" s="92"/>
      <c r="B9" s="22" t="s">
        <v>14</v>
      </c>
      <c r="C9" s="257" t="str">
        <f>'Profit &amp; Loss Statement'!C9</f>
        <v/>
      </c>
      <c r="D9" s="23">
        <f>IF(C9="",1, 0)</f>
        <v>1</v>
      </c>
      <c r="E9" s="27"/>
      <c r="F9" s="27"/>
      <c r="G9" s="27"/>
      <c r="H9" s="27"/>
      <c r="I9" s="27"/>
      <c r="J9" s="27"/>
    </row>
    <row r="10" spans="1:10" x14ac:dyDescent="0.25">
      <c r="A10" s="29"/>
      <c r="B10" s="22" t="s">
        <v>689</v>
      </c>
      <c r="C10" s="59" t="str">
        <f>IF('Cover Sheet'!C10="", "", 'Cover Sheet'!C10)</f>
        <v/>
      </c>
      <c r="D10" s="23">
        <f>IF(C10="",1, 0)</f>
        <v>1</v>
      </c>
    </row>
    <row r="11" spans="1:10" x14ac:dyDescent="0.25">
      <c r="A11" s="82" t="s">
        <v>207</v>
      </c>
      <c r="B11" s="113" t="s">
        <v>208</v>
      </c>
      <c r="C11" s="84"/>
      <c r="D11" s="85" t="s">
        <v>209</v>
      </c>
      <c r="E11" s="113" t="s">
        <v>210</v>
      </c>
    </row>
    <row r="12" spans="1:10" ht="64.5" x14ac:dyDescent="0.25">
      <c r="A12" s="93" t="s">
        <v>211</v>
      </c>
      <c r="B12" s="59" t="s">
        <v>212</v>
      </c>
      <c r="C12" s="94" t="s">
        <v>213</v>
      </c>
      <c r="D12" s="108">
        <f>'Regional Breakdown '!D14</f>
        <v>0</v>
      </c>
      <c r="E12" s="109">
        <f>ROUND(('Regional Breakdown '!E14),2)</f>
        <v>0</v>
      </c>
    </row>
    <row r="13" spans="1:10" ht="90" x14ac:dyDescent="0.25">
      <c r="A13" s="93" t="s">
        <v>214</v>
      </c>
      <c r="B13" s="59" t="s">
        <v>215</v>
      </c>
      <c r="C13" s="95" t="s">
        <v>216</v>
      </c>
      <c r="D13" s="108">
        <f>'Regional Breakdown '!D15</f>
        <v>0</v>
      </c>
      <c r="E13" s="109">
        <f>ROUND(('Balance Sheet'!D16),2)</f>
        <v>0</v>
      </c>
    </row>
    <row r="14" spans="1:10" ht="51.75" x14ac:dyDescent="0.25">
      <c r="A14" s="93" t="s">
        <v>217</v>
      </c>
      <c r="B14" s="59" t="s">
        <v>218</v>
      </c>
      <c r="C14" s="32" t="s">
        <v>219</v>
      </c>
      <c r="D14" s="108">
        <f>'Regional Breakdown '!D16</f>
        <v>0</v>
      </c>
      <c r="E14" s="109">
        <f>'Regional Breakdown '!E16</f>
        <v>0</v>
      </c>
    </row>
    <row r="15" spans="1:10" x14ac:dyDescent="0.25">
      <c r="A15" s="93" t="s">
        <v>220</v>
      </c>
      <c r="B15" s="59" t="s">
        <v>221</v>
      </c>
      <c r="C15" s="71" t="s">
        <v>222</v>
      </c>
      <c r="D15" s="270"/>
      <c r="E15" s="271"/>
    </row>
    <row r="16" spans="1:10" ht="31.5" x14ac:dyDescent="0.25">
      <c r="A16" s="114"/>
      <c r="B16" s="114" t="s">
        <v>223</v>
      </c>
      <c r="C16" s="114"/>
      <c r="D16" s="114" t="s">
        <v>209</v>
      </c>
      <c r="E16" s="114" t="s">
        <v>210</v>
      </c>
      <c r="F16" s="115" t="s">
        <v>224</v>
      </c>
      <c r="G16" s="115" t="s">
        <v>225</v>
      </c>
      <c r="H16" s="115" t="s">
        <v>226</v>
      </c>
    </row>
    <row r="17" spans="1:9" ht="45" x14ac:dyDescent="0.25">
      <c r="A17" s="30" t="s">
        <v>227</v>
      </c>
      <c r="B17" s="59" t="s">
        <v>228</v>
      </c>
      <c r="C17" s="96" t="s">
        <v>229</v>
      </c>
      <c r="D17" s="108">
        <f>'Regional Breakdown '!D18</f>
        <v>0</v>
      </c>
      <c r="E17" s="109">
        <f>'Regional Breakdown '!E18</f>
        <v>0</v>
      </c>
      <c r="F17" s="97">
        <v>0.01</v>
      </c>
      <c r="G17" s="109">
        <f>ROUND(E17*F17,2)</f>
        <v>0</v>
      </c>
      <c r="H17" s="73"/>
    </row>
    <row r="18" spans="1:9" ht="45" x14ac:dyDescent="0.25">
      <c r="A18" s="30" t="s">
        <v>230</v>
      </c>
      <c r="B18" s="59" t="s">
        <v>231</v>
      </c>
      <c r="C18" s="96" t="s">
        <v>232</v>
      </c>
      <c r="D18" s="108">
        <f>'Regional Breakdown '!D19</f>
        <v>0</v>
      </c>
      <c r="E18" s="109">
        <f>'Regional Breakdown '!E19</f>
        <v>0</v>
      </c>
      <c r="F18" s="97">
        <v>0.05</v>
      </c>
      <c r="G18" s="109">
        <f>ROUND(E18*F18,2)</f>
        <v>0</v>
      </c>
      <c r="H18" s="73"/>
    </row>
    <row r="19" spans="1:9" ht="45" x14ac:dyDescent="0.25">
      <c r="A19" s="30" t="s">
        <v>233</v>
      </c>
      <c r="B19" s="59" t="s">
        <v>234</v>
      </c>
      <c r="C19" s="96" t="s">
        <v>232</v>
      </c>
      <c r="D19" s="108">
        <f>'Regional Breakdown '!D20</f>
        <v>0</v>
      </c>
      <c r="E19" s="109">
        <f>'Regional Breakdown '!E20</f>
        <v>0</v>
      </c>
      <c r="F19" s="97">
        <v>0.2</v>
      </c>
      <c r="G19" s="109">
        <f>ROUND(E19*F19,2)</f>
        <v>0</v>
      </c>
      <c r="H19" s="73"/>
    </row>
    <row r="20" spans="1:9" ht="45" x14ac:dyDescent="0.25">
      <c r="A20" s="30" t="s">
        <v>235</v>
      </c>
      <c r="B20" s="59" t="s">
        <v>236</v>
      </c>
      <c r="C20" s="96" t="s">
        <v>237</v>
      </c>
      <c r="D20" s="108">
        <f>'Regional Breakdown '!D21</f>
        <v>0</v>
      </c>
      <c r="E20" s="109">
        <f>'Regional Breakdown '!E21</f>
        <v>0</v>
      </c>
      <c r="F20" s="97">
        <v>0.4</v>
      </c>
      <c r="G20" s="109">
        <f>ROUND(E20*F20, 2)</f>
        <v>0</v>
      </c>
      <c r="H20" s="73"/>
    </row>
    <row r="21" spans="1:9" ht="45" x14ac:dyDescent="0.25">
      <c r="A21" s="30" t="s">
        <v>238</v>
      </c>
      <c r="B21" s="59" t="s">
        <v>239</v>
      </c>
      <c r="C21" s="96" t="s">
        <v>240</v>
      </c>
      <c r="D21" s="108">
        <f>'Regional Breakdown '!D22</f>
        <v>0</v>
      </c>
      <c r="E21" s="109">
        <f>'Regional Breakdown '!E22</f>
        <v>0</v>
      </c>
      <c r="F21" s="97">
        <v>0.6</v>
      </c>
      <c r="G21" s="109">
        <f>ROUND(E21*F21, 2)</f>
        <v>0</v>
      </c>
      <c r="H21" s="73"/>
    </row>
    <row r="22" spans="1:9" ht="45" x14ac:dyDescent="0.25">
      <c r="A22" s="30" t="s">
        <v>241</v>
      </c>
      <c r="B22" s="98" t="s">
        <v>242</v>
      </c>
      <c r="C22" s="96" t="s">
        <v>243</v>
      </c>
      <c r="D22" s="108">
        <f>'Regional Breakdown '!D23</f>
        <v>0</v>
      </c>
      <c r="E22" s="109">
        <f>'Regional Breakdown '!E23</f>
        <v>0</v>
      </c>
      <c r="F22" s="97">
        <v>0.8</v>
      </c>
      <c r="G22" s="109">
        <f>ROUND(E22*F22,2)</f>
        <v>0</v>
      </c>
      <c r="H22" s="73"/>
    </row>
    <row r="23" spans="1:9" ht="45" x14ac:dyDescent="0.25">
      <c r="A23" s="30" t="s">
        <v>244</v>
      </c>
      <c r="B23" s="98" t="s">
        <v>245</v>
      </c>
      <c r="C23" s="96" t="s">
        <v>246</v>
      </c>
      <c r="D23" s="108">
        <f>'Regional Breakdown '!D24</f>
        <v>0</v>
      </c>
      <c r="E23" s="109">
        <f>'Regional Breakdown '!E24</f>
        <v>0</v>
      </c>
      <c r="F23" s="97">
        <v>1</v>
      </c>
      <c r="G23" s="109">
        <f>ROUND(E23*F23,2)</f>
        <v>0</v>
      </c>
      <c r="H23" s="73"/>
    </row>
    <row r="24" spans="1:9" ht="45" x14ac:dyDescent="0.25">
      <c r="A24" s="30" t="s">
        <v>247</v>
      </c>
      <c r="B24" s="98" t="s">
        <v>248</v>
      </c>
      <c r="C24" s="96" t="s">
        <v>249</v>
      </c>
      <c r="D24" s="108">
        <f>'Regional Breakdown '!D25</f>
        <v>0</v>
      </c>
      <c r="E24" s="109">
        <f>'Regional Breakdown '!E25</f>
        <v>0</v>
      </c>
      <c r="F24" s="97">
        <v>1</v>
      </c>
      <c r="G24" s="109">
        <f>ROUND(E24*F24,2)</f>
        <v>0</v>
      </c>
      <c r="H24" s="73"/>
    </row>
    <row r="25" spans="1:9" ht="45" x14ac:dyDescent="0.25">
      <c r="A25" s="30" t="s">
        <v>250</v>
      </c>
      <c r="B25" s="98" t="s">
        <v>251</v>
      </c>
      <c r="C25" s="96" t="s">
        <v>252</v>
      </c>
      <c r="D25" s="108">
        <f>'Regional Breakdown '!D26</f>
        <v>0</v>
      </c>
      <c r="E25" s="109">
        <f>'Regional Breakdown '!E26</f>
        <v>0</v>
      </c>
      <c r="F25" s="97">
        <v>1</v>
      </c>
      <c r="G25" s="109">
        <f>ROUND(E25*F25,2)</f>
        <v>0</v>
      </c>
      <c r="H25" s="73"/>
    </row>
    <row r="26" spans="1:9" ht="30" x14ac:dyDescent="0.25">
      <c r="A26" s="30" t="s">
        <v>253</v>
      </c>
      <c r="B26" s="98" t="s">
        <v>254</v>
      </c>
      <c r="C26" s="96" t="s">
        <v>255</v>
      </c>
      <c r="D26" s="108">
        <f>'Regional Breakdown '!D27</f>
        <v>0</v>
      </c>
      <c r="E26" s="109">
        <f>'Regional Breakdown '!E27</f>
        <v>0</v>
      </c>
      <c r="F26" s="99">
        <v>1</v>
      </c>
      <c r="G26" s="109">
        <f>ROUND(E26*F26,2)</f>
        <v>0</v>
      </c>
      <c r="H26" s="73"/>
    </row>
    <row r="27" spans="1:9" x14ac:dyDescent="0.25">
      <c r="A27" s="30" t="s">
        <v>256</v>
      </c>
      <c r="B27" s="100" t="s">
        <v>257</v>
      </c>
      <c r="C27" s="96"/>
      <c r="D27" s="110">
        <f>SUM(D17:D26)</f>
        <v>0</v>
      </c>
      <c r="E27" s="111">
        <f>ROUND(SUM(E17:E26),2)</f>
        <v>0</v>
      </c>
      <c r="F27" s="101" t="str">
        <f>IF(E27=E13," ","Error!")</f>
        <v xml:space="preserve"> </v>
      </c>
      <c r="G27" s="111">
        <f>ROUND(SUM(G17:G26),2)</f>
        <v>0</v>
      </c>
      <c r="H27" s="111">
        <f>ROUND(SUM(H17:H26),2)</f>
        <v>0</v>
      </c>
      <c r="I27" s="269" t="str">
        <f>IF(H27&gt;=G27," ","Error!")</f>
        <v xml:space="preserve"> </v>
      </c>
    </row>
    <row r="28" spans="1:9" ht="45" x14ac:dyDescent="0.25">
      <c r="A28" s="30" t="s">
        <v>258</v>
      </c>
      <c r="B28" s="98" t="s">
        <v>259</v>
      </c>
      <c r="C28" s="96" t="s">
        <v>260</v>
      </c>
      <c r="D28" s="110">
        <f>SUM(D18:D25)</f>
        <v>0</v>
      </c>
      <c r="E28" s="111">
        <f>SUM(E18:E25)</f>
        <v>0</v>
      </c>
    </row>
    <row r="29" spans="1:9" ht="45" x14ac:dyDescent="0.25">
      <c r="A29" s="30" t="s">
        <v>261</v>
      </c>
      <c r="B29" s="98" t="s">
        <v>262</v>
      </c>
      <c r="C29" s="96" t="s">
        <v>263</v>
      </c>
      <c r="D29" s="242"/>
      <c r="E29" s="112">
        <f>IFERROR(E28/E13, 0)</f>
        <v>0</v>
      </c>
    </row>
    <row r="30" spans="1:9" ht="45" x14ac:dyDescent="0.25">
      <c r="A30" s="30" t="s">
        <v>264</v>
      </c>
      <c r="B30" s="98" t="s">
        <v>265</v>
      </c>
      <c r="C30" s="96" t="s">
        <v>266</v>
      </c>
      <c r="D30" s="110">
        <f>SUM(D19:D25)</f>
        <v>0</v>
      </c>
      <c r="E30" s="111">
        <f>SUM(E19:E25)</f>
        <v>0</v>
      </c>
    </row>
    <row r="31" spans="1:9" ht="45" x14ac:dyDescent="0.25">
      <c r="A31" s="30" t="s">
        <v>267</v>
      </c>
      <c r="B31" s="98" t="s">
        <v>268</v>
      </c>
      <c r="C31" s="96" t="s">
        <v>269</v>
      </c>
      <c r="D31" s="242"/>
      <c r="E31" s="112">
        <f>IFERROR(E30/E13, 0)</f>
        <v>0</v>
      </c>
    </row>
    <row r="32" spans="1:9" ht="30" x14ac:dyDescent="0.25">
      <c r="A32" s="30" t="s">
        <v>270</v>
      </c>
      <c r="B32" s="98" t="s">
        <v>271</v>
      </c>
      <c r="C32" s="96" t="s">
        <v>272</v>
      </c>
      <c r="D32" s="110">
        <f>SUM(D18:D26)</f>
        <v>0</v>
      </c>
      <c r="E32" s="111">
        <f>SUM(E18:E26)</f>
        <v>0</v>
      </c>
    </row>
    <row r="33" spans="1:5" ht="45" x14ac:dyDescent="0.25">
      <c r="A33" s="30" t="s">
        <v>273</v>
      </c>
      <c r="B33" s="98" t="s">
        <v>274</v>
      </c>
      <c r="C33" s="96" t="s">
        <v>275</v>
      </c>
      <c r="D33" s="242"/>
      <c r="E33" s="112">
        <f>IFERROR(E32/E13, 0)</f>
        <v>0</v>
      </c>
    </row>
    <row r="34" spans="1:5" ht="45" x14ac:dyDescent="0.25">
      <c r="A34" s="30" t="s">
        <v>276</v>
      </c>
      <c r="B34" s="98" t="s">
        <v>277</v>
      </c>
      <c r="C34" s="96" t="s">
        <v>278</v>
      </c>
      <c r="D34" s="110">
        <f>SUM(D19:D26)</f>
        <v>0</v>
      </c>
      <c r="E34" s="111">
        <f>SUM(E19:E26)</f>
        <v>0</v>
      </c>
    </row>
    <row r="35" spans="1:5" ht="45" x14ac:dyDescent="0.25">
      <c r="A35" s="30" t="s">
        <v>279</v>
      </c>
      <c r="B35" s="98" t="s">
        <v>280</v>
      </c>
      <c r="C35" s="96" t="s">
        <v>281</v>
      </c>
      <c r="D35" s="242"/>
      <c r="E35" s="112">
        <f>IFERROR(E34/E13, 0)</f>
        <v>0</v>
      </c>
    </row>
    <row r="36" spans="1:5" x14ac:dyDescent="0.25">
      <c r="A36" s="29"/>
      <c r="B36" s="103"/>
      <c r="C36" s="71"/>
      <c r="D36" s="104"/>
      <c r="E36" s="105"/>
    </row>
    <row r="37" spans="1:5" x14ac:dyDescent="0.25">
      <c r="A37" s="209" t="s">
        <v>282</v>
      </c>
      <c r="B37" s="210" t="s">
        <v>283</v>
      </c>
      <c r="C37" s="210"/>
      <c r="D37" s="210" t="s">
        <v>209</v>
      </c>
      <c r="E37" s="210" t="s">
        <v>210</v>
      </c>
    </row>
    <row r="38" spans="1:5" x14ac:dyDescent="0.25">
      <c r="A38" s="30" t="s">
        <v>284</v>
      </c>
      <c r="B38" s="105" t="s">
        <v>285</v>
      </c>
      <c r="C38" s="71" t="s">
        <v>652</v>
      </c>
      <c r="D38" s="110">
        <f>'Regional Breakdown '!D39</f>
        <v>0</v>
      </c>
      <c r="E38" s="111">
        <f>'Regional Breakdown '!E39</f>
        <v>0</v>
      </c>
    </row>
    <row r="39" spans="1:5" x14ac:dyDescent="0.25">
      <c r="A39" s="30" t="s">
        <v>286</v>
      </c>
      <c r="B39" s="105" t="s">
        <v>287</v>
      </c>
      <c r="C39" s="71" t="s">
        <v>653</v>
      </c>
      <c r="D39" s="110">
        <f>'Regional Breakdown '!D40</f>
        <v>0</v>
      </c>
      <c r="E39" s="111">
        <f>'Regional Breakdown '!E40</f>
        <v>0</v>
      </c>
    </row>
    <row r="40" spans="1:5" x14ac:dyDescent="0.25">
      <c r="A40" s="30" t="s">
        <v>288</v>
      </c>
      <c r="B40" s="105" t="s">
        <v>289</v>
      </c>
      <c r="C40" s="71" t="s">
        <v>654</v>
      </c>
      <c r="D40" s="110">
        <f>'Regional Breakdown '!D41</f>
        <v>0</v>
      </c>
      <c r="E40" s="111">
        <f>'Regional Breakdown '!E41</f>
        <v>0</v>
      </c>
    </row>
    <row r="41" spans="1:5" x14ac:dyDescent="0.25">
      <c r="A41" s="30" t="s">
        <v>290</v>
      </c>
      <c r="B41" s="105" t="s">
        <v>291</v>
      </c>
      <c r="C41" s="71" t="s">
        <v>655</v>
      </c>
      <c r="D41" s="110">
        <f>'Regional Breakdown '!D42</f>
        <v>0</v>
      </c>
      <c r="E41" s="111">
        <f>'Regional Breakdown '!E42</f>
        <v>0</v>
      </c>
    </row>
    <row r="42" spans="1:5" x14ac:dyDescent="0.25">
      <c r="A42" s="30" t="s">
        <v>292</v>
      </c>
      <c r="B42" s="105" t="s">
        <v>293</v>
      </c>
      <c r="C42" s="71" t="s">
        <v>656</v>
      </c>
      <c r="D42" s="110">
        <f>'Regional Breakdown '!D43</f>
        <v>0</v>
      </c>
      <c r="E42" s="111">
        <f>'Regional Breakdown '!E43</f>
        <v>0</v>
      </c>
    </row>
    <row r="43" spans="1:5" x14ac:dyDescent="0.25">
      <c r="A43" s="30" t="s">
        <v>294</v>
      </c>
      <c r="B43" s="105" t="s">
        <v>295</v>
      </c>
      <c r="C43" s="71" t="s">
        <v>657</v>
      </c>
      <c r="D43" s="110">
        <f>'Regional Breakdown '!D44</f>
        <v>0</v>
      </c>
      <c r="E43" s="111">
        <f>'Regional Breakdown '!E44</f>
        <v>0</v>
      </c>
    </row>
    <row r="44" spans="1:5" x14ac:dyDescent="0.25">
      <c r="A44" s="30" t="s">
        <v>296</v>
      </c>
      <c r="B44" s="105" t="s">
        <v>297</v>
      </c>
      <c r="C44" s="71" t="s">
        <v>658</v>
      </c>
      <c r="D44" s="110">
        <f>'Regional Breakdown '!D45</f>
        <v>0</v>
      </c>
      <c r="E44" s="111">
        <f>'Regional Breakdown '!E45</f>
        <v>0</v>
      </c>
    </row>
    <row r="45" spans="1:5" x14ac:dyDescent="0.25">
      <c r="A45" s="30" t="s">
        <v>298</v>
      </c>
      <c r="B45" s="105" t="s">
        <v>299</v>
      </c>
      <c r="C45" s="71" t="s">
        <v>659</v>
      </c>
      <c r="D45" s="110">
        <f>'Regional Breakdown '!D46</f>
        <v>0</v>
      </c>
      <c r="E45" s="111">
        <f>'Regional Breakdown '!E46</f>
        <v>0</v>
      </c>
    </row>
    <row r="46" spans="1:5" x14ac:dyDescent="0.25">
      <c r="A46" s="30" t="s">
        <v>300</v>
      </c>
      <c r="B46" s="105" t="s">
        <v>301</v>
      </c>
      <c r="C46" s="71" t="s">
        <v>660</v>
      </c>
      <c r="D46" s="110">
        <f>'Regional Breakdown '!D47</f>
        <v>0</v>
      </c>
      <c r="E46" s="111">
        <f>'Regional Breakdown '!E47</f>
        <v>0</v>
      </c>
    </row>
    <row r="47" spans="1:5" x14ac:dyDescent="0.25">
      <c r="A47" s="30" t="s">
        <v>302</v>
      </c>
      <c r="B47" s="105" t="s">
        <v>303</v>
      </c>
      <c r="C47" s="71" t="s">
        <v>661</v>
      </c>
      <c r="D47" s="110">
        <f>'Regional Breakdown '!D48</f>
        <v>0</v>
      </c>
      <c r="E47" s="111">
        <f>'Regional Breakdown '!E48</f>
        <v>0</v>
      </c>
    </row>
    <row r="48" spans="1:5" x14ac:dyDescent="0.25">
      <c r="A48" s="30" t="s">
        <v>304</v>
      </c>
      <c r="B48" s="105" t="s">
        <v>305</v>
      </c>
      <c r="C48" s="71" t="s">
        <v>662</v>
      </c>
      <c r="D48" s="110">
        <f>'Regional Breakdown '!D49</f>
        <v>0</v>
      </c>
      <c r="E48" s="111">
        <f>'Regional Breakdown '!E49</f>
        <v>0</v>
      </c>
    </row>
    <row r="49" spans="1:6" x14ac:dyDescent="0.25">
      <c r="A49" s="30" t="s">
        <v>306</v>
      </c>
      <c r="B49" s="105" t="s">
        <v>307</v>
      </c>
      <c r="C49" s="71" t="s">
        <v>663</v>
      </c>
      <c r="D49" s="110">
        <f>'Regional Breakdown '!D50</f>
        <v>0</v>
      </c>
      <c r="E49" s="111">
        <f>'Regional Breakdown '!E50</f>
        <v>0</v>
      </c>
    </row>
    <row r="50" spans="1:6" x14ac:dyDescent="0.25">
      <c r="A50" s="30" t="s">
        <v>308</v>
      </c>
      <c r="B50" s="105" t="s">
        <v>309</v>
      </c>
      <c r="C50" s="71" t="s">
        <v>664</v>
      </c>
      <c r="D50" s="110">
        <f>'Regional Breakdown '!D51</f>
        <v>0</v>
      </c>
      <c r="E50" s="111">
        <f>'Regional Breakdown '!E51</f>
        <v>0</v>
      </c>
    </row>
    <row r="51" spans="1:6" x14ac:dyDescent="0.25">
      <c r="A51" s="30" t="s">
        <v>310</v>
      </c>
      <c r="B51" s="106" t="s">
        <v>311</v>
      </c>
      <c r="C51" s="71"/>
      <c r="D51" s="110">
        <f>SUM(D38:D50)</f>
        <v>0</v>
      </c>
      <c r="E51" s="111">
        <f>ROUND(SUM(E38:E50),2)</f>
        <v>0</v>
      </c>
      <c r="F51" s="107" t="str">
        <f>IF(E51=E13," ","Error!")</f>
        <v xml:space="preserve"> </v>
      </c>
    </row>
    <row r="52" spans="1:6" x14ac:dyDescent="0.25">
      <c r="D52" s="12"/>
    </row>
    <row r="53" spans="1:6" x14ac:dyDescent="0.25">
      <c r="D53" s="12"/>
    </row>
    <row r="54" spans="1:6" x14ac:dyDescent="0.25">
      <c r="D54" s="12"/>
    </row>
  </sheetData>
  <sheetProtection algorithmName="SHA-512" hashValue="6eEL2MW3JYAqylGj1O72gaiqV+5CZwNWW2PBPWX7xPEyT4q/Y2nGCqPTTF0MOoklXNMfJsvbiAj3/BqzynZoxQ==" saltValue="UeyNOVQ2diTFtc/kw5ZVHg==" spinCount="100000" sheet="1" selectLockedCells="1"/>
  <mergeCells count="2">
    <mergeCell ref="A1:D1"/>
    <mergeCell ref="A2:D2"/>
  </mergeCells>
  <dataValidations count="4">
    <dataValidation allowBlank="1" showInputMessage="1" showErrorMessage="1" prompt="Prov rate should be same as aging bracket prior to rescheduling" sqref="F26" xr:uid="{00000000-0002-0000-0500-000000000000}"/>
    <dataValidation allowBlank="1" showInputMessage="1" showErrorMessage="1" prompt="This should be same as Gross Loans Outstanding in Balance Sheet" sqref="E51 E27 E13" xr:uid="{00000000-0002-0000-0500-000001000000}"/>
    <dataValidation type="custom" allowBlank="1" showInputMessage="1" showErrorMessage="1" error="Please enter a valid amount to proceed" prompt="Please make sure that your input is an amount value." sqref="E15 H17:H26" xr:uid="{00000000-0002-0000-0500-000002000000}">
      <formula1>ISNUMBER(E15)</formula1>
    </dataValidation>
    <dataValidation type="whole" operator="greaterThanOrEqual" allowBlank="1" showInputMessage="1" showErrorMessage="1" error="Please enter a valid number to proceed" prompt="Please make sure that your input is a number." sqref="D15" xr:uid="{00000000-0002-0000-0500-000004000000}">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F49"/>
  <sheetViews>
    <sheetView topLeftCell="A41" workbookViewId="0">
      <selection activeCell="D14" sqref="D14"/>
    </sheetView>
  </sheetViews>
  <sheetFormatPr defaultRowHeight="15.75" x14ac:dyDescent="0.25"/>
  <cols>
    <col min="1" max="1" width="6.7109375" style="14" customWidth="1"/>
    <col min="2" max="2" width="57.140625" style="57" bestFit="1" customWidth="1"/>
    <col min="3" max="3" width="78.7109375" style="58" customWidth="1"/>
    <col min="4" max="4" width="29.28515625" style="16" customWidth="1"/>
    <col min="5" max="5" width="11.140625" style="18" customWidth="1"/>
    <col min="6" max="6" width="11.42578125" style="18" customWidth="1"/>
    <col min="7" max="16384" width="9.140625" style="18"/>
  </cols>
  <sheetData>
    <row r="1" spans="1:6" s="19" customFormat="1" ht="18.75" x14ac:dyDescent="0.25">
      <c r="A1" s="280" t="str">
        <f>'Profit &amp; Loss Statement'!A1:D1</f>
        <v>MICRO – CREDIT ASSOCIATION GHANA</v>
      </c>
      <c r="B1" s="280"/>
      <c r="C1" s="280"/>
      <c r="D1" s="280"/>
      <c r="E1" s="17">
        <f>SUM(D4:D10)</f>
        <v>6</v>
      </c>
      <c r="F1" s="56" t="str">
        <f>IF(SUM(D4:D9)=0,"", "Error!")</f>
        <v>Error!</v>
      </c>
    </row>
    <row r="2" spans="1:6" s="19" customFormat="1" ht="18.75" x14ac:dyDescent="0.25">
      <c r="A2" s="280" t="str">
        <f>'Profit &amp; Loss Statement'!A2:D2</f>
        <v>MEMBERS REPORTING TEMPLATE</v>
      </c>
      <c r="B2" s="280"/>
      <c r="C2" s="280"/>
      <c r="D2" s="280"/>
    </row>
    <row r="3" spans="1:6" x14ac:dyDescent="0.25">
      <c r="A3" s="20"/>
    </row>
    <row r="4" spans="1:6" s="21" customFormat="1" x14ac:dyDescent="0.25">
      <c r="A4" s="16"/>
      <c r="B4" s="22" t="s">
        <v>9</v>
      </c>
      <c r="C4" s="59" t="str">
        <f>IF('Profit &amp; Loss Statement'!C4 = "", "", 'Profit &amp; Loss Statement'!C4)</f>
        <v/>
      </c>
      <c r="D4" s="23">
        <f>IF(C4="",1,IF(ISTEXT(C4),0,1))+IF(OR(ISNUMBER(LEFT(C4)),LEFT(C4)=" "),1,0)</f>
        <v>1</v>
      </c>
    </row>
    <row r="5" spans="1:6" s="21" customFormat="1" x14ac:dyDescent="0.25">
      <c r="A5" s="16"/>
      <c r="B5" s="22" t="s">
        <v>10</v>
      </c>
      <c r="C5" s="59" t="str">
        <f>IF('Profit &amp; Loss Statement'!C5 = "", "", 'Profit &amp; Loss Statement'!C5)</f>
        <v/>
      </c>
      <c r="D5" s="23">
        <f>IF(C5="",1,IF(ISTEXT(C5),0,1))+IF(OR(ISNUMBER(LEFT(C5)),LEFT(C5)=" "),1,0)</f>
        <v>1</v>
      </c>
    </row>
    <row r="6" spans="1:6" s="24" customFormat="1" x14ac:dyDescent="0.25">
      <c r="A6" s="60"/>
      <c r="B6" s="22" t="s">
        <v>11</v>
      </c>
      <c r="C6" s="256" t="str">
        <f>IF('Profit &amp; Loss Statement'!C6 = "", "", 'Profit &amp; Loss Statement'!C6)</f>
        <v xml:space="preserve">MCAG-PR-UA </v>
      </c>
      <c r="D6" s="23">
        <f>IF(C6="",1,IF(ISTEXT(C6),0,1))</f>
        <v>0</v>
      </c>
    </row>
    <row r="7" spans="1:6" s="21" customFormat="1" x14ac:dyDescent="0.25">
      <c r="A7" s="16"/>
      <c r="B7" s="22" t="s">
        <v>12</v>
      </c>
      <c r="C7" s="59" t="str">
        <f>IF('Profit &amp; Loss Statement'!C7 = "", "", 'Profit &amp; Loss Statement'!C7)</f>
        <v/>
      </c>
      <c r="D7" s="23">
        <f>IF(C7="",1,IF(ISTEXT(C7),0,1))</f>
        <v>1</v>
      </c>
    </row>
    <row r="8" spans="1:6" s="24" customFormat="1" x14ac:dyDescent="0.25">
      <c r="A8" s="60"/>
      <c r="B8" s="22" t="s">
        <v>13</v>
      </c>
      <c r="C8" s="61" t="str">
        <f>IF('Profit &amp; Loss Statement'!C8 = "", "", 'Profit &amp; Loss Statement'!C8)</f>
        <v/>
      </c>
      <c r="D8" s="23">
        <f>IF(C8="",1, 0)</f>
        <v>1</v>
      </c>
    </row>
    <row r="9" spans="1:6" s="26" customFormat="1" x14ac:dyDescent="0.25">
      <c r="A9" s="25"/>
      <c r="B9" s="22" t="s">
        <v>14</v>
      </c>
      <c r="C9" s="257" t="str">
        <f>'Profit &amp; Loss Statement'!C9</f>
        <v/>
      </c>
      <c r="D9" s="23">
        <f>IF(C9="",1, 0)</f>
        <v>1</v>
      </c>
    </row>
    <row r="10" spans="1:6" x14ac:dyDescent="0.25">
      <c r="A10" s="29"/>
      <c r="B10" s="22" t="s">
        <v>689</v>
      </c>
      <c r="C10" s="59" t="str">
        <f>IF('Cover Sheet'!C10="", "", 'Cover Sheet'!C10)</f>
        <v/>
      </c>
      <c r="D10" s="23">
        <f>IF(C10="",1, 0)</f>
        <v>1</v>
      </c>
    </row>
    <row r="11" spans="1:6" x14ac:dyDescent="0.25">
      <c r="A11" s="82" t="s">
        <v>312</v>
      </c>
      <c r="B11" s="120" t="s">
        <v>313</v>
      </c>
      <c r="C11" s="53"/>
      <c r="D11" s="85"/>
    </row>
    <row r="12" spans="1:6" x14ac:dyDescent="0.25">
      <c r="A12" s="30" t="s">
        <v>314</v>
      </c>
      <c r="B12" s="59" t="s">
        <v>315</v>
      </c>
      <c r="C12" s="71"/>
      <c r="D12" s="8"/>
    </row>
    <row r="13" spans="1:6" x14ac:dyDescent="0.25">
      <c r="A13" s="30" t="s">
        <v>316</v>
      </c>
      <c r="B13" s="59" t="s">
        <v>317</v>
      </c>
      <c r="C13" s="71"/>
      <c r="D13" s="8"/>
    </row>
    <row r="14" spans="1:6" x14ac:dyDescent="0.25">
      <c r="A14" s="30" t="s">
        <v>318</v>
      </c>
      <c r="B14" s="59" t="s">
        <v>319</v>
      </c>
      <c r="C14" s="71"/>
      <c r="D14" s="8"/>
    </row>
    <row r="15" spans="1:6" x14ac:dyDescent="0.25">
      <c r="A15" s="30" t="s">
        <v>320</v>
      </c>
      <c r="B15" s="59" t="s">
        <v>321</v>
      </c>
      <c r="C15" s="71"/>
      <c r="D15" s="8"/>
    </row>
    <row r="16" spans="1:6" ht="38.25" x14ac:dyDescent="0.25">
      <c r="A16" s="30" t="s">
        <v>322</v>
      </c>
      <c r="B16" s="59" t="s">
        <v>323</v>
      </c>
      <c r="C16" s="116" t="s">
        <v>324</v>
      </c>
      <c r="D16" s="110">
        <f>'Regional Breakdown '!D55</f>
        <v>0</v>
      </c>
    </row>
    <row r="17" spans="1:4" ht="51" x14ac:dyDescent="0.25">
      <c r="A17" s="30" t="s">
        <v>325</v>
      </c>
      <c r="B17" s="59" t="s">
        <v>326</v>
      </c>
      <c r="C17" s="116" t="s">
        <v>327</v>
      </c>
      <c r="D17" s="110">
        <f>'Regional Breakdown '!D56</f>
        <v>0</v>
      </c>
    </row>
    <row r="18" spans="1:4" ht="39.75" x14ac:dyDescent="0.25">
      <c r="A18" s="30" t="s">
        <v>328</v>
      </c>
      <c r="B18" s="59" t="s">
        <v>329</v>
      </c>
      <c r="C18" s="32" t="s">
        <v>330</v>
      </c>
      <c r="D18" s="110">
        <f>'Regional Breakdown '!D57</f>
        <v>0</v>
      </c>
    </row>
    <row r="19" spans="1:4" ht="39.75" x14ac:dyDescent="0.25">
      <c r="A19" s="30" t="s">
        <v>331</v>
      </c>
      <c r="B19" s="59" t="s">
        <v>332</v>
      </c>
      <c r="C19" s="32" t="s">
        <v>333</v>
      </c>
      <c r="D19" s="110">
        <f>'Regional Breakdown '!D58</f>
        <v>0</v>
      </c>
    </row>
    <row r="20" spans="1:4" x14ac:dyDescent="0.25">
      <c r="A20" s="30" t="s">
        <v>334</v>
      </c>
      <c r="B20" s="117" t="s">
        <v>335</v>
      </c>
      <c r="C20" s="118"/>
      <c r="D20" s="119">
        <f>'Balance Sheet'!D26</f>
        <v>0</v>
      </c>
    </row>
    <row r="21" spans="1:4" x14ac:dyDescent="0.25">
      <c r="A21" s="30" t="s">
        <v>336</v>
      </c>
      <c r="B21" s="117" t="s">
        <v>337</v>
      </c>
      <c r="C21" s="118"/>
      <c r="D21" s="119">
        <f>IFERROR('Portfolio Report'!E12/'Portfolio Report'!D12, 0)</f>
        <v>0</v>
      </c>
    </row>
    <row r="22" spans="1:4" x14ac:dyDescent="0.25">
      <c r="A22" s="30" t="s">
        <v>338</v>
      </c>
      <c r="B22" s="117" t="s">
        <v>339</v>
      </c>
      <c r="C22" s="118"/>
      <c r="D22" s="119">
        <f>IFERROR('Portfolio Report'!E13/'Portfolio Report'!D13, 0)</f>
        <v>0</v>
      </c>
    </row>
    <row r="23" spans="1:4" x14ac:dyDescent="0.25">
      <c r="A23" s="30" t="s">
        <v>340</v>
      </c>
      <c r="B23" s="34" t="s">
        <v>341</v>
      </c>
      <c r="C23" s="32" t="s">
        <v>342</v>
      </c>
      <c r="D23" s="111">
        <f>'Regional Breakdown '!D61</f>
        <v>0</v>
      </c>
    </row>
    <row r="24" spans="1:4" ht="25.5" x14ac:dyDescent="0.25">
      <c r="A24" s="30" t="s">
        <v>343</v>
      </c>
      <c r="B24" s="117" t="s">
        <v>344</v>
      </c>
      <c r="C24" s="32" t="s">
        <v>345</v>
      </c>
      <c r="D24" s="110">
        <f>'Regional Breakdown '!D62</f>
        <v>0</v>
      </c>
    </row>
    <row r="25" spans="1:4" ht="25.5" x14ac:dyDescent="0.25">
      <c r="A25" s="30" t="s">
        <v>346</v>
      </c>
      <c r="B25" s="117" t="s">
        <v>347</v>
      </c>
      <c r="C25" s="32" t="s">
        <v>348</v>
      </c>
      <c r="D25" s="110">
        <f>'Regional Breakdown '!D63</f>
        <v>0</v>
      </c>
    </row>
    <row r="26" spans="1:4" x14ac:dyDescent="0.25">
      <c r="A26" s="30" t="s">
        <v>349</v>
      </c>
      <c r="B26" s="117" t="s">
        <v>350</v>
      </c>
      <c r="C26" s="32" t="s">
        <v>351</v>
      </c>
      <c r="D26" s="110">
        <f>'Regional Breakdown '!D66</f>
        <v>0</v>
      </c>
    </row>
    <row r="27" spans="1:4" x14ac:dyDescent="0.25">
      <c r="A27" s="50"/>
      <c r="B27" s="243" t="s">
        <v>666</v>
      </c>
      <c r="C27" s="121"/>
      <c r="D27" s="122"/>
    </row>
    <row r="28" spans="1:4" x14ac:dyDescent="0.25">
      <c r="A28" s="30" t="s">
        <v>352</v>
      </c>
      <c r="B28" s="117" t="s">
        <v>353</v>
      </c>
      <c r="C28" s="118"/>
      <c r="D28" s="8"/>
    </row>
    <row r="29" spans="1:4" x14ac:dyDescent="0.25">
      <c r="A29" s="30" t="s">
        <v>354</v>
      </c>
      <c r="B29" s="117" t="s">
        <v>355</v>
      </c>
      <c r="C29" s="118"/>
      <c r="D29" s="8"/>
    </row>
    <row r="30" spans="1:4" x14ac:dyDescent="0.25">
      <c r="A30" s="30" t="s">
        <v>356</v>
      </c>
      <c r="B30" s="117" t="s">
        <v>357</v>
      </c>
      <c r="C30" s="118"/>
      <c r="D30" s="8"/>
    </row>
    <row r="31" spans="1:4" x14ac:dyDescent="0.25">
      <c r="A31" s="30" t="s">
        <v>358</v>
      </c>
      <c r="B31" s="117" t="s">
        <v>359</v>
      </c>
      <c r="C31" s="118"/>
      <c r="D31" s="8"/>
    </row>
    <row r="32" spans="1:4" x14ac:dyDescent="0.25">
      <c r="A32" s="30" t="s">
        <v>360</v>
      </c>
      <c r="B32" s="117" t="s">
        <v>361</v>
      </c>
      <c r="C32" s="118"/>
      <c r="D32" s="8"/>
    </row>
    <row r="33" spans="1:4" x14ac:dyDescent="0.25">
      <c r="A33" s="211"/>
      <c r="B33" s="244" t="s">
        <v>667</v>
      </c>
      <c r="C33" s="212"/>
      <c r="D33" s="213"/>
    </row>
    <row r="34" spans="1:4" x14ac:dyDescent="0.25">
      <c r="A34" s="30" t="s">
        <v>362</v>
      </c>
      <c r="B34" s="117" t="s">
        <v>363</v>
      </c>
      <c r="C34" s="118"/>
      <c r="D34" s="8"/>
    </row>
    <row r="35" spans="1:4" x14ac:dyDescent="0.25">
      <c r="A35" s="30" t="s">
        <v>364</v>
      </c>
      <c r="B35" s="117" t="s">
        <v>365</v>
      </c>
      <c r="C35" s="118"/>
      <c r="D35" s="8"/>
    </row>
    <row r="36" spans="1:4" x14ac:dyDescent="0.25">
      <c r="A36" s="30" t="s">
        <v>366</v>
      </c>
      <c r="B36" s="117" t="s">
        <v>367</v>
      </c>
      <c r="C36" s="118"/>
      <c r="D36" s="8"/>
    </row>
    <row r="37" spans="1:4" x14ac:dyDescent="0.25">
      <c r="A37" s="30" t="s">
        <v>368</v>
      </c>
      <c r="B37" s="117" t="s">
        <v>708</v>
      </c>
      <c r="C37" s="118"/>
      <c r="D37" s="8"/>
    </row>
    <row r="38" spans="1:4" x14ac:dyDescent="0.25">
      <c r="A38" s="30" t="s">
        <v>370</v>
      </c>
      <c r="B38" s="59" t="s">
        <v>709</v>
      </c>
      <c r="C38" s="71"/>
      <c r="D38" s="8"/>
    </row>
    <row r="39" spans="1:4" x14ac:dyDescent="0.25">
      <c r="A39" s="214"/>
      <c r="B39" s="245" t="s">
        <v>668</v>
      </c>
      <c r="C39" s="215"/>
      <c r="D39" s="213"/>
    </row>
    <row r="40" spans="1:4" ht="31.5" x14ac:dyDescent="0.25">
      <c r="A40" s="30" t="s">
        <v>372</v>
      </c>
      <c r="B40" s="117" t="s">
        <v>373</v>
      </c>
      <c r="C40" s="118"/>
      <c r="D40" s="8"/>
    </row>
    <row r="41" spans="1:4" ht="19.5" customHeight="1" x14ac:dyDescent="0.25">
      <c r="A41" s="30" t="s">
        <v>374</v>
      </c>
      <c r="B41" s="117" t="s">
        <v>375</v>
      </c>
      <c r="C41" s="118"/>
      <c r="D41" s="8"/>
    </row>
    <row r="42" spans="1:4" x14ac:dyDescent="0.25">
      <c r="A42" s="30" t="s">
        <v>376</v>
      </c>
      <c r="B42" s="117" t="s">
        <v>377</v>
      </c>
      <c r="C42" s="118"/>
      <c r="D42" s="110">
        <f>'Regional Breakdown '!D64</f>
        <v>0</v>
      </c>
    </row>
    <row r="43" spans="1:4" x14ac:dyDescent="0.25">
      <c r="A43" s="30" t="s">
        <v>378</v>
      </c>
      <c r="B43" s="117" t="s">
        <v>379</v>
      </c>
      <c r="C43" s="118"/>
      <c r="D43" s="111">
        <f>'Regional Breakdown '!D65</f>
        <v>0</v>
      </c>
    </row>
    <row r="44" spans="1:4" x14ac:dyDescent="0.25">
      <c r="A44" s="30" t="s">
        <v>380</v>
      </c>
      <c r="B44" s="117" t="s">
        <v>381</v>
      </c>
      <c r="C44" s="71"/>
      <c r="D44" s="110">
        <f>'Regional Breakdown '!D67</f>
        <v>0</v>
      </c>
    </row>
    <row r="45" spans="1:4" x14ac:dyDescent="0.25">
      <c r="A45" s="30" t="s">
        <v>382</v>
      </c>
      <c r="B45" s="117" t="s">
        <v>383</v>
      </c>
      <c r="C45" s="71"/>
      <c r="D45" s="111">
        <f>'Regional Breakdown '!D68</f>
        <v>0</v>
      </c>
    </row>
    <row r="46" spans="1:4" x14ac:dyDescent="0.25">
      <c r="A46" s="216"/>
      <c r="B46" s="217" t="s">
        <v>384</v>
      </c>
      <c r="C46" s="215"/>
      <c r="D46" s="213"/>
    </row>
    <row r="47" spans="1:4" x14ac:dyDescent="0.25">
      <c r="A47" s="30" t="s">
        <v>385</v>
      </c>
      <c r="B47" s="117" t="s">
        <v>386</v>
      </c>
      <c r="C47" s="71"/>
      <c r="D47" s="8"/>
    </row>
    <row r="48" spans="1:4" x14ac:dyDescent="0.25">
      <c r="A48" s="30" t="s">
        <v>387</v>
      </c>
      <c r="B48" s="117" t="s">
        <v>388</v>
      </c>
      <c r="C48" s="71"/>
      <c r="D48" s="8"/>
    </row>
    <row r="49" spans="4:4" x14ac:dyDescent="0.25">
      <c r="D49" s="12"/>
    </row>
  </sheetData>
  <sheetProtection algorithmName="SHA-512" hashValue="A3o1Di+Wqg+fGSWLgKgEgd3+r2ZICiG70bDLRgoPh6ZMs6ZFHkq75uK9wQlRXMOGepgdYCwUe9k8Podau+PWXA==" saltValue="blVqbqeY/afS6nJfif/Orw==" spinCount="100000" sheet="1" selectLockedCells="1"/>
  <mergeCells count="2">
    <mergeCell ref="A1:D1"/>
    <mergeCell ref="A2:D2"/>
  </mergeCells>
  <dataValidations count="1">
    <dataValidation type="whole" operator="greaterThanOrEqual" allowBlank="1" showInputMessage="1" showErrorMessage="1" error="Please enter a valid number to proceed" prompt="Please make sure that your input is a number." sqref="D28:D32 D34:D38 D40:D41 D47:D48 D12:D15" xr:uid="{00000000-0002-0000-0600-000000000000}">
      <formula1>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sheetPr>
  <dimension ref="A1:N89"/>
  <sheetViews>
    <sheetView topLeftCell="B65" workbookViewId="0">
      <selection activeCell="E66" sqref="E66"/>
    </sheetView>
  </sheetViews>
  <sheetFormatPr defaultRowHeight="15.75" x14ac:dyDescent="0.25"/>
  <cols>
    <col min="1" max="1" width="7.140625" style="91" customWidth="1"/>
    <col min="2" max="2" width="55.42578125" style="57" customWidth="1"/>
    <col min="3" max="3" width="42.7109375" style="91" customWidth="1"/>
    <col min="4" max="4" width="20.7109375" style="91" customWidth="1"/>
    <col min="5" max="6" width="19.5703125" style="91" customWidth="1"/>
    <col min="7" max="7" width="24.5703125" style="91" customWidth="1"/>
    <col min="8" max="13" width="9.140625" style="18"/>
    <col min="14" max="14" width="9.5703125" style="18" bestFit="1" customWidth="1"/>
    <col min="15" max="218" width="9.140625" style="18"/>
    <col min="219" max="219" width="7.140625" style="18" customWidth="1"/>
    <col min="220" max="220" width="55.42578125" style="18" customWidth="1"/>
    <col min="221" max="221" width="42.7109375" style="18" customWidth="1"/>
    <col min="222" max="222" width="20.7109375" style="18" customWidth="1"/>
    <col min="223" max="224" width="19.5703125" style="18" customWidth="1"/>
    <col min="225" max="225" width="24.5703125" style="18" customWidth="1"/>
    <col min="226" max="226" width="19" style="18" customWidth="1"/>
    <col min="227" max="227" width="17.7109375" style="18" customWidth="1"/>
    <col min="228" max="228" width="19.140625" style="18" customWidth="1"/>
    <col min="229" max="229" width="17.85546875" style="18" customWidth="1"/>
    <col min="230" max="230" width="16.7109375" style="18" customWidth="1"/>
    <col min="231" max="231" width="16.85546875" style="18" customWidth="1"/>
    <col min="232" max="233" width="19" style="18" customWidth="1"/>
    <col min="234" max="234" width="18.5703125" style="18" customWidth="1"/>
    <col min="235" max="235" width="19" style="18" customWidth="1"/>
    <col min="236" max="236" width="17.140625" style="18" customWidth="1"/>
    <col min="237" max="238" width="18" style="18" customWidth="1"/>
    <col min="239" max="241" width="16" style="18" customWidth="1"/>
    <col min="242" max="242" width="15.85546875" style="18" customWidth="1"/>
    <col min="243" max="243" width="15.7109375" style="18" customWidth="1"/>
    <col min="244" max="474" width="9.140625" style="18"/>
    <col min="475" max="475" width="7.140625" style="18" customWidth="1"/>
    <col min="476" max="476" width="55.42578125" style="18" customWidth="1"/>
    <col min="477" max="477" width="42.7109375" style="18" customWidth="1"/>
    <col min="478" max="478" width="20.7109375" style="18" customWidth="1"/>
    <col min="479" max="480" width="19.5703125" style="18" customWidth="1"/>
    <col min="481" max="481" width="24.5703125" style="18" customWidth="1"/>
    <col min="482" max="482" width="19" style="18" customWidth="1"/>
    <col min="483" max="483" width="17.7109375" style="18" customWidth="1"/>
    <col min="484" max="484" width="19.140625" style="18" customWidth="1"/>
    <col min="485" max="485" width="17.85546875" style="18" customWidth="1"/>
    <col min="486" max="486" width="16.7109375" style="18" customWidth="1"/>
    <col min="487" max="487" width="16.85546875" style="18" customWidth="1"/>
    <col min="488" max="489" width="19" style="18" customWidth="1"/>
    <col min="490" max="490" width="18.5703125" style="18" customWidth="1"/>
    <col min="491" max="491" width="19" style="18" customWidth="1"/>
    <col min="492" max="492" width="17.140625" style="18" customWidth="1"/>
    <col min="493" max="494" width="18" style="18" customWidth="1"/>
    <col min="495" max="497" width="16" style="18" customWidth="1"/>
    <col min="498" max="498" width="15.85546875" style="18" customWidth="1"/>
    <col min="499" max="499" width="15.7109375" style="18" customWidth="1"/>
    <col min="500" max="730" width="9.140625" style="18"/>
    <col min="731" max="731" width="7.140625" style="18" customWidth="1"/>
    <col min="732" max="732" width="55.42578125" style="18" customWidth="1"/>
    <col min="733" max="733" width="42.7109375" style="18" customWidth="1"/>
    <col min="734" max="734" width="20.7109375" style="18" customWidth="1"/>
    <col min="735" max="736" width="19.5703125" style="18" customWidth="1"/>
    <col min="737" max="737" width="24.5703125" style="18" customWidth="1"/>
    <col min="738" max="738" width="19" style="18" customWidth="1"/>
    <col min="739" max="739" width="17.7109375" style="18" customWidth="1"/>
    <col min="740" max="740" width="19.140625" style="18" customWidth="1"/>
    <col min="741" max="741" width="17.85546875" style="18" customWidth="1"/>
    <col min="742" max="742" width="16.7109375" style="18" customWidth="1"/>
    <col min="743" max="743" width="16.85546875" style="18" customWidth="1"/>
    <col min="744" max="745" width="19" style="18" customWidth="1"/>
    <col min="746" max="746" width="18.5703125" style="18" customWidth="1"/>
    <col min="747" max="747" width="19" style="18" customWidth="1"/>
    <col min="748" max="748" width="17.140625" style="18" customWidth="1"/>
    <col min="749" max="750" width="18" style="18" customWidth="1"/>
    <col min="751" max="753" width="16" style="18" customWidth="1"/>
    <col min="754" max="754" width="15.85546875" style="18" customWidth="1"/>
    <col min="755" max="755" width="15.7109375" style="18" customWidth="1"/>
    <col min="756" max="986" width="9.140625" style="18"/>
    <col min="987" max="987" width="7.140625" style="18" customWidth="1"/>
    <col min="988" max="988" width="55.42578125" style="18" customWidth="1"/>
    <col min="989" max="989" width="42.7109375" style="18" customWidth="1"/>
    <col min="990" max="990" width="20.7109375" style="18" customWidth="1"/>
    <col min="991" max="992" width="19.5703125" style="18" customWidth="1"/>
    <col min="993" max="993" width="24.5703125" style="18" customWidth="1"/>
    <col min="994" max="994" width="19" style="18" customWidth="1"/>
    <col min="995" max="995" width="17.7109375" style="18" customWidth="1"/>
    <col min="996" max="996" width="19.140625" style="18" customWidth="1"/>
    <col min="997" max="997" width="17.85546875" style="18" customWidth="1"/>
    <col min="998" max="998" width="16.7109375" style="18" customWidth="1"/>
    <col min="999" max="999" width="16.85546875" style="18" customWidth="1"/>
    <col min="1000" max="1001" width="19" style="18" customWidth="1"/>
    <col min="1002" max="1002" width="18.5703125" style="18" customWidth="1"/>
    <col min="1003" max="1003" width="19" style="18" customWidth="1"/>
    <col min="1004" max="1004" width="17.140625" style="18" customWidth="1"/>
    <col min="1005" max="1006" width="18" style="18" customWidth="1"/>
    <col min="1007" max="1009" width="16" style="18" customWidth="1"/>
    <col min="1010" max="1010" width="15.85546875" style="18" customWidth="1"/>
    <col min="1011" max="1011" width="15.7109375" style="18" customWidth="1"/>
    <col min="1012" max="1242" width="9.140625" style="18"/>
    <col min="1243" max="1243" width="7.140625" style="18" customWidth="1"/>
    <col min="1244" max="1244" width="55.42578125" style="18" customWidth="1"/>
    <col min="1245" max="1245" width="42.7109375" style="18" customWidth="1"/>
    <col min="1246" max="1246" width="20.7109375" style="18" customWidth="1"/>
    <col min="1247" max="1248" width="19.5703125" style="18" customWidth="1"/>
    <col min="1249" max="1249" width="24.5703125" style="18" customWidth="1"/>
    <col min="1250" max="1250" width="19" style="18" customWidth="1"/>
    <col min="1251" max="1251" width="17.7109375" style="18" customWidth="1"/>
    <col min="1252" max="1252" width="19.140625" style="18" customWidth="1"/>
    <col min="1253" max="1253" width="17.85546875" style="18" customWidth="1"/>
    <col min="1254" max="1254" width="16.7109375" style="18" customWidth="1"/>
    <col min="1255" max="1255" width="16.85546875" style="18" customWidth="1"/>
    <col min="1256" max="1257" width="19" style="18" customWidth="1"/>
    <col min="1258" max="1258" width="18.5703125" style="18" customWidth="1"/>
    <col min="1259" max="1259" width="19" style="18" customWidth="1"/>
    <col min="1260" max="1260" width="17.140625" style="18" customWidth="1"/>
    <col min="1261" max="1262" width="18" style="18" customWidth="1"/>
    <col min="1263" max="1265" width="16" style="18" customWidth="1"/>
    <col min="1266" max="1266" width="15.85546875" style="18" customWidth="1"/>
    <col min="1267" max="1267" width="15.7109375" style="18" customWidth="1"/>
    <col min="1268" max="1498" width="9.140625" style="18"/>
    <col min="1499" max="1499" width="7.140625" style="18" customWidth="1"/>
    <col min="1500" max="1500" width="55.42578125" style="18" customWidth="1"/>
    <col min="1501" max="1501" width="42.7109375" style="18" customWidth="1"/>
    <col min="1502" max="1502" width="20.7109375" style="18" customWidth="1"/>
    <col min="1503" max="1504" width="19.5703125" style="18" customWidth="1"/>
    <col min="1505" max="1505" width="24.5703125" style="18" customWidth="1"/>
    <col min="1506" max="1506" width="19" style="18" customWidth="1"/>
    <col min="1507" max="1507" width="17.7109375" style="18" customWidth="1"/>
    <col min="1508" max="1508" width="19.140625" style="18" customWidth="1"/>
    <col min="1509" max="1509" width="17.85546875" style="18" customWidth="1"/>
    <col min="1510" max="1510" width="16.7109375" style="18" customWidth="1"/>
    <col min="1511" max="1511" width="16.85546875" style="18" customWidth="1"/>
    <col min="1512" max="1513" width="19" style="18" customWidth="1"/>
    <col min="1514" max="1514" width="18.5703125" style="18" customWidth="1"/>
    <col min="1515" max="1515" width="19" style="18" customWidth="1"/>
    <col min="1516" max="1516" width="17.140625" style="18" customWidth="1"/>
    <col min="1517" max="1518" width="18" style="18" customWidth="1"/>
    <col min="1519" max="1521" width="16" style="18" customWidth="1"/>
    <col min="1522" max="1522" width="15.85546875" style="18" customWidth="1"/>
    <col min="1523" max="1523" width="15.7109375" style="18" customWidth="1"/>
    <col min="1524" max="1754" width="9.140625" style="18"/>
    <col min="1755" max="1755" width="7.140625" style="18" customWidth="1"/>
    <col min="1756" max="1756" width="55.42578125" style="18" customWidth="1"/>
    <col min="1757" max="1757" width="42.7109375" style="18" customWidth="1"/>
    <col min="1758" max="1758" width="20.7109375" style="18" customWidth="1"/>
    <col min="1759" max="1760" width="19.5703125" style="18" customWidth="1"/>
    <col min="1761" max="1761" width="24.5703125" style="18" customWidth="1"/>
    <col min="1762" max="1762" width="19" style="18" customWidth="1"/>
    <col min="1763" max="1763" width="17.7109375" style="18" customWidth="1"/>
    <col min="1764" max="1764" width="19.140625" style="18" customWidth="1"/>
    <col min="1765" max="1765" width="17.85546875" style="18" customWidth="1"/>
    <col min="1766" max="1766" width="16.7109375" style="18" customWidth="1"/>
    <col min="1767" max="1767" width="16.85546875" style="18" customWidth="1"/>
    <col min="1768" max="1769" width="19" style="18" customWidth="1"/>
    <col min="1770" max="1770" width="18.5703125" style="18" customWidth="1"/>
    <col min="1771" max="1771" width="19" style="18" customWidth="1"/>
    <col min="1772" max="1772" width="17.140625" style="18" customWidth="1"/>
    <col min="1773" max="1774" width="18" style="18" customWidth="1"/>
    <col min="1775" max="1777" width="16" style="18" customWidth="1"/>
    <col min="1778" max="1778" width="15.85546875" style="18" customWidth="1"/>
    <col min="1779" max="1779" width="15.7109375" style="18" customWidth="1"/>
    <col min="1780" max="2010" width="9.140625" style="18"/>
    <col min="2011" max="2011" width="7.140625" style="18" customWidth="1"/>
    <col min="2012" max="2012" width="55.42578125" style="18" customWidth="1"/>
    <col min="2013" max="2013" width="42.7109375" style="18" customWidth="1"/>
    <col min="2014" max="2014" width="20.7109375" style="18" customWidth="1"/>
    <col min="2015" max="2016" width="19.5703125" style="18" customWidth="1"/>
    <col min="2017" max="2017" width="24.5703125" style="18" customWidth="1"/>
    <col min="2018" max="2018" width="19" style="18" customWidth="1"/>
    <col min="2019" max="2019" width="17.7109375" style="18" customWidth="1"/>
    <col min="2020" max="2020" width="19.140625" style="18" customWidth="1"/>
    <col min="2021" max="2021" width="17.85546875" style="18" customWidth="1"/>
    <col min="2022" max="2022" width="16.7109375" style="18" customWidth="1"/>
    <col min="2023" max="2023" width="16.85546875" style="18" customWidth="1"/>
    <col min="2024" max="2025" width="19" style="18" customWidth="1"/>
    <col min="2026" max="2026" width="18.5703125" style="18" customWidth="1"/>
    <col min="2027" max="2027" width="19" style="18" customWidth="1"/>
    <col min="2028" max="2028" width="17.140625" style="18" customWidth="1"/>
    <col min="2029" max="2030" width="18" style="18" customWidth="1"/>
    <col min="2031" max="2033" width="16" style="18" customWidth="1"/>
    <col min="2034" max="2034" width="15.85546875" style="18" customWidth="1"/>
    <col min="2035" max="2035" width="15.7109375" style="18" customWidth="1"/>
    <col min="2036" max="2266" width="9.140625" style="18"/>
    <col min="2267" max="2267" width="7.140625" style="18" customWidth="1"/>
    <col min="2268" max="2268" width="55.42578125" style="18" customWidth="1"/>
    <col min="2269" max="2269" width="42.7109375" style="18" customWidth="1"/>
    <col min="2270" max="2270" width="20.7109375" style="18" customWidth="1"/>
    <col min="2271" max="2272" width="19.5703125" style="18" customWidth="1"/>
    <col min="2273" max="2273" width="24.5703125" style="18" customWidth="1"/>
    <col min="2274" max="2274" width="19" style="18" customWidth="1"/>
    <col min="2275" max="2275" width="17.7109375" style="18" customWidth="1"/>
    <col min="2276" max="2276" width="19.140625" style="18" customWidth="1"/>
    <col min="2277" max="2277" width="17.85546875" style="18" customWidth="1"/>
    <col min="2278" max="2278" width="16.7109375" style="18" customWidth="1"/>
    <col min="2279" max="2279" width="16.85546875" style="18" customWidth="1"/>
    <col min="2280" max="2281" width="19" style="18" customWidth="1"/>
    <col min="2282" max="2282" width="18.5703125" style="18" customWidth="1"/>
    <col min="2283" max="2283" width="19" style="18" customWidth="1"/>
    <col min="2284" max="2284" width="17.140625" style="18" customWidth="1"/>
    <col min="2285" max="2286" width="18" style="18" customWidth="1"/>
    <col min="2287" max="2289" width="16" style="18" customWidth="1"/>
    <col min="2290" max="2290" width="15.85546875" style="18" customWidth="1"/>
    <col min="2291" max="2291" width="15.7109375" style="18" customWidth="1"/>
    <col min="2292" max="2522" width="9.140625" style="18"/>
    <col min="2523" max="2523" width="7.140625" style="18" customWidth="1"/>
    <col min="2524" max="2524" width="55.42578125" style="18" customWidth="1"/>
    <col min="2525" max="2525" width="42.7109375" style="18" customWidth="1"/>
    <col min="2526" max="2526" width="20.7109375" style="18" customWidth="1"/>
    <col min="2527" max="2528" width="19.5703125" style="18" customWidth="1"/>
    <col min="2529" max="2529" width="24.5703125" style="18" customWidth="1"/>
    <col min="2530" max="2530" width="19" style="18" customWidth="1"/>
    <col min="2531" max="2531" width="17.7109375" style="18" customWidth="1"/>
    <col min="2532" max="2532" width="19.140625" style="18" customWidth="1"/>
    <col min="2533" max="2533" width="17.85546875" style="18" customWidth="1"/>
    <col min="2534" max="2534" width="16.7109375" style="18" customWidth="1"/>
    <col min="2535" max="2535" width="16.85546875" style="18" customWidth="1"/>
    <col min="2536" max="2537" width="19" style="18" customWidth="1"/>
    <col min="2538" max="2538" width="18.5703125" style="18" customWidth="1"/>
    <col min="2539" max="2539" width="19" style="18" customWidth="1"/>
    <col min="2540" max="2540" width="17.140625" style="18" customWidth="1"/>
    <col min="2541" max="2542" width="18" style="18" customWidth="1"/>
    <col min="2543" max="2545" width="16" style="18" customWidth="1"/>
    <col min="2546" max="2546" width="15.85546875" style="18" customWidth="1"/>
    <col min="2547" max="2547" width="15.7109375" style="18" customWidth="1"/>
    <col min="2548" max="2778" width="9.140625" style="18"/>
    <col min="2779" max="2779" width="7.140625" style="18" customWidth="1"/>
    <col min="2780" max="2780" width="55.42578125" style="18" customWidth="1"/>
    <col min="2781" max="2781" width="42.7109375" style="18" customWidth="1"/>
    <col min="2782" max="2782" width="20.7109375" style="18" customWidth="1"/>
    <col min="2783" max="2784" width="19.5703125" style="18" customWidth="1"/>
    <col min="2785" max="2785" width="24.5703125" style="18" customWidth="1"/>
    <col min="2786" max="2786" width="19" style="18" customWidth="1"/>
    <col min="2787" max="2787" width="17.7109375" style="18" customWidth="1"/>
    <col min="2788" max="2788" width="19.140625" style="18" customWidth="1"/>
    <col min="2789" max="2789" width="17.85546875" style="18" customWidth="1"/>
    <col min="2790" max="2790" width="16.7109375" style="18" customWidth="1"/>
    <col min="2791" max="2791" width="16.85546875" style="18" customWidth="1"/>
    <col min="2792" max="2793" width="19" style="18" customWidth="1"/>
    <col min="2794" max="2794" width="18.5703125" style="18" customWidth="1"/>
    <col min="2795" max="2795" width="19" style="18" customWidth="1"/>
    <col min="2796" max="2796" width="17.140625" style="18" customWidth="1"/>
    <col min="2797" max="2798" width="18" style="18" customWidth="1"/>
    <col min="2799" max="2801" width="16" style="18" customWidth="1"/>
    <col min="2802" max="2802" width="15.85546875" style="18" customWidth="1"/>
    <col min="2803" max="2803" width="15.7109375" style="18" customWidth="1"/>
    <col min="2804" max="3034" width="9.140625" style="18"/>
    <col min="3035" max="3035" width="7.140625" style="18" customWidth="1"/>
    <col min="3036" max="3036" width="55.42578125" style="18" customWidth="1"/>
    <col min="3037" max="3037" width="42.7109375" style="18" customWidth="1"/>
    <col min="3038" max="3038" width="20.7109375" style="18" customWidth="1"/>
    <col min="3039" max="3040" width="19.5703125" style="18" customWidth="1"/>
    <col min="3041" max="3041" width="24.5703125" style="18" customWidth="1"/>
    <col min="3042" max="3042" width="19" style="18" customWidth="1"/>
    <col min="3043" max="3043" width="17.7109375" style="18" customWidth="1"/>
    <col min="3044" max="3044" width="19.140625" style="18" customWidth="1"/>
    <col min="3045" max="3045" width="17.85546875" style="18" customWidth="1"/>
    <col min="3046" max="3046" width="16.7109375" style="18" customWidth="1"/>
    <col min="3047" max="3047" width="16.85546875" style="18" customWidth="1"/>
    <col min="3048" max="3049" width="19" style="18" customWidth="1"/>
    <col min="3050" max="3050" width="18.5703125" style="18" customWidth="1"/>
    <col min="3051" max="3051" width="19" style="18" customWidth="1"/>
    <col min="3052" max="3052" width="17.140625" style="18" customWidth="1"/>
    <col min="3053" max="3054" width="18" style="18" customWidth="1"/>
    <col min="3055" max="3057" width="16" style="18" customWidth="1"/>
    <col min="3058" max="3058" width="15.85546875" style="18" customWidth="1"/>
    <col min="3059" max="3059" width="15.7109375" style="18" customWidth="1"/>
    <col min="3060" max="3290" width="9.140625" style="18"/>
    <col min="3291" max="3291" width="7.140625" style="18" customWidth="1"/>
    <col min="3292" max="3292" width="55.42578125" style="18" customWidth="1"/>
    <col min="3293" max="3293" width="42.7109375" style="18" customWidth="1"/>
    <col min="3294" max="3294" width="20.7109375" style="18" customWidth="1"/>
    <col min="3295" max="3296" width="19.5703125" style="18" customWidth="1"/>
    <col min="3297" max="3297" width="24.5703125" style="18" customWidth="1"/>
    <col min="3298" max="3298" width="19" style="18" customWidth="1"/>
    <col min="3299" max="3299" width="17.7109375" style="18" customWidth="1"/>
    <col min="3300" max="3300" width="19.140625" style="18" customWidth="1"/>
    <col min="3301" max="3301" width="17.85546875" style="18" customWidth="1"/>
    <col min="3302" max="3302" width="16.7109375" style="18" customWidth="1"/>
    <col min="3303" max="3303" width="16.85546875" style="18" customWidth="1"/>
    <col min="3304" max="3305" width="19" style="18" customWidth="1"/>
    <col min="3306" max="3306" width="18.5703125" style="18" customWidth="1"/>
    <col min="3307" max="3307" width="19" style="18" customWidth="1"/>
    <col min="3308" max="3308" width="17.140625" style="18" customWidth="1"/>
    <col min="3309" max="3310" width="18" style="18" customWidth="1"/>
    <col min="3311" max="3313" width="16" style="18" customWidth="1"/>
    <col min="3314" max="3314" width="15.85546875" style="18" customWidth="1"/>
    <col min="3315" max="3315" width="15.7109375" style="18" customWidth="1"/>
    <col min="3316" max="3546" width="9.140625" style="18"/>
    <col min="3547" max="3547" width="7.140625" style="18" customWidth="1"/>
    <col min="3548" max="3548" width="55.42578125" style="18" customWidth="1"/>
    <col min="3549" max="3549" width="42.7109375" style="18" customWidth="1"/>
    <col min="3550" max="3550" width="20.7109375" style="18" customWidth="1"/>
    <col min="3551" max="3552" width="19.5703125" style="18" customWidth="1"/>
    <col min="3553" max="3553" width="24.5703125" style="18" customWidth="1"/>
    <col min="3554" max="3554" width="19" style="18" customWidth="1"/>
    <col min="3555" max="3555" width="17.7109375" style="18" customWidth="1"/>
    <col min="3556" max="3556" width="19.140625" style="18" customWidth="1"/>
    <col min="3557" max="3557" width="17.85546875" style="18" customWidth="1"/>
    <col min="3558" max="3558" width="16.7109375" style="18" customWidth="1"/>
    <col min="3559" max="3559" width="16.85546875" style="18" customWidth="1"/>
    <col min="3560" max="3561" width="19" style="18" customWidth="1"/>
    <col min="3562" max="3562" width="18.5703125" style="18" customWidth="1"/>
    <col min="3563" max="3563" width="19" style="18" customWidth="1"/>
    <col min="3564" max="3564" width="17.140625" style="18" customWidth="1"/>
    <col min="3565" max="3566" width="18" style="18" customWidth="1"/>
    <col min="3567" max="3569" width="16" style="18" customWidth="1"/>
    <col min="3570" max="3570" width="15.85546875" style="18" customWidth="1"/>
    <col min="3571" max="3571" width="15.7109375" style="18" customWidth="1"/>
    <col min="3572" max="3802" width="9.140625" style="18"/>
    <col min="3803" max="3803" width="7.140625" style="18" customWidth="1"/>
    <col min="3804" max="3804" width="55.42578125" style="18" customWidth="1"/>
    <col min="3805" max="3805" width="42.7109375" style="18" customWidth="1"/>
    <col min="3806" max="3806" width="20.7109375" style="18" customWidth="1"/>
    <col min="3807" max="3808" width="19.5703125" style="18" customWidth="1"/>
    <col min="3809" max="3809" width="24.5703125" style="18" customWidth="1"/>
    <col min="3810" max="3810" width="19" style="18" customWidth="1"/>
    <col min="3811" max="3811" width="17.7109375" style="18" customWidth="1"/>
    <col min="3812" max="3812" width="19.140625" style="18" customWidth="1"/>
    <col min="3813" max="3813" width="17.85546875" style="18" customWidth="1"/>
    <col min="3814" max="3814" width="16.7109375" style="18" customWidth="1"/>
    <col min="3815" max="3815" width="16.85546875" style="18" customWidth="1"/>
    <col min="3816" max="3817" width="19" style="18" customWidth="1"/>
    <col min="3818" max="3818" width="18.5703125" style="18" customWidth="1"/>
    <col min="3819" max="3819" width="19" style="18" customWidth="1"/>
    <col min="3820" max="3820" width="17.140625" style="18" customWidth="1"/>
    <col min="3821" max="3822" width="18" style="18" customWidth="1"/>
    <col min="3823" max="3825" width="16" style="18" customWidth="1"/>
    <col min="3826" max="3826" width="15.85546875" style="18" customWidth="1"/>
    <col min="3827" max="3827" width="15.7109375" style="18" customWidth="1"/>
    <col min="3828" max="4058" width="9.140625" style="18"/>
    <col min="4059" max="4059" width="7.140625" style="18" customWidth="1"/>
    <col min="4060" max="4060" width="55.42578125" style="18" customWidth="1"/>
    <col min="4061" max="4061" width="42.7109375" style="18" customWidth="1"/>
    <col min="4062" max="4062" width="20.7109375" style="18" customWidth="1"/>
    <col min="4063" max="4064" width="19.5703125" style="18" customWidth="1"/>
    <col min="4065" max="4065" width="24.5703125" style="18" customWidth="1"/>
    <col min="4066" max="4066" width="19" style="18" customWidth="1"/>
    <col min="4067" max="4067" width="17.7109375" style="18" customWidth="1"/>
    <col min="4068" max="4068" width="19.140625" style="18" customWidth="1"/>
    <col min="4069" max="4069" width="17.85546875" style="18" customWidth="1"/>
    <col min="4070" max="4070" width="16.7109375" style="18" customWidth="1"/>
    <col min="4071" max="4071" width="16.85546875" style="18" customWidth="1"/>
    <col min="4072" max="4073" width="19" style="18" customWidth="1"/>
    <col min="4074" max="4074" width="18.5703125" style="18" customWidth="1"/>
    <col min="4075" max="4075" width="19" style="18" customWidth="1"/>
    <col min="4076" max="4076" width="17.140625" style="18" customWidth="1"/>
    <col min="4077" max="4078" width="18" style="18" customWidth="1"/>
    <col min="4079" max="4081" width="16" style="18" customWidth="1"/>
    <col min="4082" max="4082" width="15.85546875" style="18" customWidth="1"/>
    <col min="4083" max="4083" width="15.7109375" style="18" customWidth="1"/>
    <col min="4084" max="4314" width="9.140625" style="18"/>
    <col min="4315" max="4315" width="7.140625" style="18" customWidth="1"/>
    <col min="4316" max="4316" width="55.42578125" style="18" customWidth="1"/>
    <col min="4317" max="4317" width="42.7109375" style="18" customWidth="1"/>
    <col min="4318" max="4318" width="20.7109375" style="18" customWidth="1"/>
    <col min="4319" max="4320" width="19.5703125" style="18" customWidth="1"/>
    <col min="4321" max="4321" width="24.5703125" style="18" customWidth="1"/>
    <col min="4322" max="4322" width="19" style="18" customWidth="1"/>
    <col min="4323" max="4323" width="17.7109375" style="18" customWidth="1"/>
    <col min="4324" max="4324" width="19.140625" style="18" customWidth="1"/>
    <col min="4325" max="4325" width="17.85546875" style="18" customWidth="1"/>
    <col min="4326" max="4326" width="16.7109375" style="18" customWidth="1"/>
    <col min="4327" max="4327" width="16.85546875" style="18" customWidth="1"/>
    <col min="4328" max="4329" width="19" style="18" customWidth="1"/>
    <col min="4330" max="4330" width="18.5703125" style="18" customWidth="1"/>
    <col min="4331" max="4331" width="19" style="18" customWidth="1"/>
    <col min="4332" max="4332" width="17.140625" style="18" customWidth="1"/>
    <col min="4333" max="4334" width="18" style="18" customWidth="1"/>
    <col min="4335" max="4337" width="16" style="18" customWidth="1"/>
    <col min="4338" max="4338" width="15.85546875" style="18" customWidth="1"/>
    <col min="4339" max="4339" width="15.7109375" style="18" customWidth="1"/>
    <col min="4340" max="4570" width="9.140625" style="18"/>
    <col min="4571" max="4571" width="7.140625" style="18" customWidth="1"/>
    <col min="4572" max="4572" width="55.42578125" style="18" customWidth="1"/>
    <col min="4573" max="4573" width="42.7109375" style="18" customWidth="1"/>
    <col min="4574" max="4574" width="20.7109375" style="18" customWidth="1"/>
    <col min="4575" max="4576" width="19.5703125" style="18" customWidth="1"/>
    <col min="4577" max="4577" width="24.5703125" style="18" customWidth="1"/>
    <col min="4578" max="4578" width="19" style="18" customWidth="1"/>
    <col min="4579" max="4579" width="17.7109375" style="18" customWidth="1"/>
    <col min="4580" max="4580" width="19.140625" style="18" customWidth="1"/>
    <col min="4581" max="4581" width="17.85546875" style="18" customWidth="1"/>
    <col min="4582" max="4582" width="16.7109375" style="18" customWidth="1"/>
    <col min="4583" max="4583" width="16.85546875" style="18" customWidth="1"/>
    <col min="4584" max="4585" width="19" style="18" customWidth="1"/>
    <col min="4586" max="4586" width="18.5703125" style="18" customWidth="1"/>
    <col min="4587" max="4587" width="19" style="18" customWidth="1"/>
    <col min="4588" max="4588" width="17.140625" style="18" customWidth="1"/>
    <col min="4589" max="4590" width="18" style="18" customWidth="1"/>
    <col min="4591" max="4593" width="16" style="18" customWidth="1"/>
    <col min="4594" max="4594" width="15.85546875" style="18" customWidth="1"/>
    <col min="4595" max="4595" width="15.7109375" style="18" customWidth="1"/>
    <col min="4596" max="4826" width="9.140625" style="18"/>
    <col min="4827" max="4827" width="7.140625" style="18" customWidth="1"/>
    <col min="4828" max="4828" width="55.42578125" style="18" customWidth="1"/>
    <col min="4829" max="4829" width="42.7109375" style="18" customWidth="1"/>
    <col min="4830" max="4830" width="20.7109375" style="18" customWidth="1"/>
    <col min="4831" max="4832" width="19.5703125" style="18" customWidth="1"/>
    <col min="4833" max="4833" width="24.5703125" style="18" customWidth="1"/>
    <col min="4834" max="4834" width="19" style="18" customWidth="1"/>
    <col min="4835" max="4835" width="17.7109375" style="18" customWidth="1"/>
    <col min="4836" max="4836" width="19.140625" style="18" customWidth="1"/>
    <col min="4837" max="4837" width="17.85546875" style="18" customWidth="1"/>
    <col min="4838" max="4838" width="16.7109375" style="18" customWidth="1"/>
    <col min="4839" max="4839" width="16.85546875" style="18" customWidth="1"/>
    <col min="4840" max="4841" width="19" style="18" customWidth="1"/>
    <col min="4842" max="4842" width="18.5703125" style="18" customWidth="1"/>
    <col min="4843" max="4843" width="19" style="18" customWidth="1"/>
    <col min="4844" max="4844" width="17.140625" style="18" customWidth="1"/>
    <col min="4845" max="4846" width="18" style="18" customWidth="1"/>
    <col min="4847" max="4849" width="16" style="18" customWidth="1"/>
    <col min="4850" max="4850" width="15.85546875" style="18" customWidth="1"/>
    <col min="4851" max="4851" width="15.7109375" style="18" customWidth="1"/>
    <col min="4852" max="5082" width="9.140625" style="18"/>
    <col min="5083" max="5083" width="7.140625" style="18" customWidth="1"/>
    <col min="5084" max="5084" width="55.42578125" style="18" customWidth="1"/>
    <col min="5085" max="5085" width="42.7109375" style="18" customWidth="1"/>
    <col min="5086" max="5086" width="20.7109375" style="18" customWidth="1"/>
    <col min="5087" max="5088" width="19.5703125" style="18" customWidth="1"/>
    <col min="5089" max="5089" width="24.5703125" style="18" customWidth="1"/>
    <col min="5090" max="5090" width="19" style="18" customWidth="1"/>
    <col min="5091" max="5091" width="17.7109375" style="18" customWidth="1"/>
    <col min="5092" max="5092" width="19.140625" style="18" customWidth="1"/>
    <col min="5093" max="5093" width="17.85546875" style="18" customWidth="1"/>
    <col min="5094" max="5094" width="16.7109375" style="18" customWidth="1"/>
    <col min="5095" max="5095" width="16.85546875" style="18" customWidth="1"/>
    <col min="5096" max="5097" width="19" style="18" customWidth="1"/>
    <col min="5098" max="5098" width="18.5703125" style="18" customWidth="1"/>
    <col min="5099" max="5099" width="19" style="18" customWidth="1"/>
    <col min="5100" max="5100" width="17.140625" style="18" customWidth="1"/>
    <col min="5101" max="5102" width="18" style="18" customWidth="1"/>
    <col min="5103" max="5105" width="16" style="18" customWidth="1"/>
    <col min="5106" max="5106" width="15.85546875" style="18" customWidth="1"/>
    <col min="5107" max="5107" width="15.7109375" style="18" customWidth="1"/>
    <col min="5108" max="5338" width="9.140625" style="18"/>
    <col min="5339" max="5339" width="7.140625" style="18" customWidth="1"/>
    <col min="5340" max="5340" width="55.42578125" style="18" customWidth="1"/>
    <col min="5341" max="5341" width="42.7109375" style="18" customWidth="1"/>
    <col min="5342" max="5342" width="20.7109375" style="18" customWidth="1"/>
    <col min="5343" max="5344" width="19.5703125" style="18" customWidth="1"/>
    <col min="5345" max="5345" width="24.5703125" style="18" customWidth="1"/>
    <col min="5346" max="5346" width="19" style="18" customWidth="1"/>
    <col min="5347" max="5347" width="17.7109375" style="18" customWidth="1"/>
    <col min="5348" max="5348" width="19.140625" style="18" customWidth="1"/>
    <col min="5349" max="5349" width="17.85546875" style="18" customWidth="1"/>
    <col min="5350" max="5350" width="16.7109375" style="18" customWidth="1"/>
    <col min="5351" max="5351" width="16.85546875" style="18" customWidth="1"/>
    <col min="5352" max="5353" width="19" style="18" customWidth="1"/>
    <col min="5354" max="5354" width="18.5703125" style="18" customWidth="1"/>
    <col min="5355" max="5355" width="19" style="18" customWidth="1"/>
    <col min="5356" max="5356" width="17.140625" style="18" customWidth="1"/>
    <col min="5357" max="5358" width="18" style="18" customWidth="1"/>
    <col min="5359" max="5361" width="16" style="18" customWidth="1"/>
    <col min="5362" max="5362" width="15.85546875" style="18" customWidth="1"/>
    <col min="5363" max="5363" width="15.7109375" style="18" customWidth="1"/>
    <col min="5364" max="5594" width="9.140625" style="18"/>
    <col min="5595" max="5595" width="7.140625" style="18" customWidth="1"/>
    <col min="5596" max="5596" width="55.42578125" style="18" customWidth="1"/>
    <col min="5597" max="5597" width="42.7109375" style="18" customWidth="1"/>
    <col min="5598" max="5598" width="20.7109375" style="18" customWidth="1"/>
    <col min="5599" max="5600" width="19.5703125" style="18" customWidth="1"/>
    <col min="5601" max="5601" width="24.5703125" style="18" customWidth="1"/>
    <col min="5602" max="5602" width="19" style="18" customWidth="1"/>
    <col min="5603" max="5603" width="17.7109375" style="18" customWidth="1"/>
    <col min="5604" max="5604" width="19.140625" style="18" customWidth="1"/>
    <col min="5605" max="5605" width="17.85546875" style="18" customWidth="1"/>
    <col min="5606" max="5606" width="16.7109375" style="18" customWidth="1"/>
    <col min="5607" max="5607" width="16.85546875" style="18" customWidth="1"/>
    <col min="5608" max="5609" width="19" style="18" customWidth="1"/>
    <col min="5610" max="5610" width="18.5703125" style="18" customWidth="1"/>
    <col min="5611" max="5611" width="19" style="18" customWidth="1"/>
    <col min="5612" max="5612" width="17.140625" style="18" customWidth="1"/>
    <col min="5613" max="5614" width="18" style="18" customWidth="1"/>
    <col min="5615" max="5617" width="16" style="18" customWidth="1"/>
    <col min="5618" max="5618" width="15.85546875" style="18" customWidth="1"/>
    <col min="5619" max="5619" width="15.7109375" style="18" customWidth="1"/>
    <col min="5620" max="5850" width="9.140625" style="18"/>
    <col min="5851" max="5851" width="7.140625" style="18" customWidth="1"/>
    <col min="5852" max="5852" width="55.42578125" style="18" customWidth="1"/>
    <col min="5853" max="5853" width="42.7109375" style="18" customWidth="1"/>
    <col min="5854" max="5854" width="20.7109375" style="18" customWidth="1"/>
    <col min="5855" max="5856" width="19.5703125" style="18" customWidth="1"/>
    <col min="5857" max="5857" width="24.5703125" style="18" customWidth="1"/>
    <col min="5858" max="5858" width="19" style="18" customWidth="1"/>
    <col min="5859" max="5859" width="17.7109375" style="18" customWidth="1"/>
    <col min="5860" max="5860" width="19.140625" style="18" customWidth="1"/>
    <col min="5861" max="5861" width="17.85546875" style="18" customWidth="1"/>
    <col min="5862" max="5862" width="16.7109375" style="18" customWidth="1"/>
    <col min="5863" max="5863" width="16.85546875" style="18" customWidth="1"/>
    <col min="5864" max="5865" width="19" style="18" customWidth="1"/>
    <col min="5866" max="5866" width="18.5703125" style="18" customWidth="1"/>
    <col min="5867" max="5867" width="19" style="18" customWidth="1"/>
    <col min="5868" max="5868" width="17.140625" style="18" customWidth="1"/>
    <col min="5869" max="5870" width="18" style="18" customWidth="1"/>
    <col min="5871" max="5873" width="16" style="18" customWidth="1"/>
    <col min="5874" max="5874" width="15.85546875" style="18" customWidth="1"/>
    <col min="5875" max="5875" width="15.7109375" style="18" customWidth="1"/>
    <col min="5876" max="6106" width="9.140625" style="18"/>
    <col min="6107" max="6107" width="7.140625" style="18" customWidth="1"/>
    <col min="6108" max="6108" width="55.42578125" style="18" customWidth="1"/>
    <col min="6109" max="6109" width="42.7109375" style="18" customWidth="1"/>
    <col min="6110" max="6110" width="20.7109375" style="18" customWidth="1"/>
    <col min="6111" max="6112" width="19.5703125" style="18" customWidth="1"/>
    <col min="6113" max="6113" width="24.5703125" style="18" customWidth="1"/>
    <col min="6114" max="6114" width="19" style="18" customWidth="1"/>
    <col min="6115" max="6115" width="17.7109375" style="18" customWidth="1"/>
    <col min="6116" max="6116" width="19.140625" style="18" customWidth="1"/>
    <col min="6117" max="6117" width="17.85546875" style="18" customWidth="1"/>
    <col min="6118" max="6118" width="16.7109375" style="18" customWidth="1"/>
    <col min="6119" max="6119" width="16.85546875" style="18" customWidth="1"/>
    <col min="6120" max="6121" width="19" style="18" customWidth="1"/>
    <col min="6122" max="6122" width="18.5703125" style="18" customWidth="1"/>
    <col min="6123" max="6123" width="19" style="18" customWidth="1"/>
    <col min="6124" max="6124" width="17.140625" style="18" customWidth="1"/>
    <col min="6125" max="6126" width="18" style="18" customWidth="1"/>
    <col min="6127" max="6129" width="16" style="18" customWidth="1"/>
    <col min="6130" max="6130" width="15.85546875" style="18" customWidth="1"/>
    <col min="6131" max="6131" width="15.7109375" style="18" customWidth="1"/>
    <col min="6132" max="6362" width="9.140625" style="18"/>
    <col min="6363" max="6363" width="7.140625" style="18" customWidth="1"/>
    <col min="6364" max="6364" width="55.42578125" style="18" customWidth="1"/>
    <col min="6365" max="6365" width="42.7109375" style="18" customWidth="1"/>
    <col min="6366" max="6366" width="20.7109375" style="18" customWidth="1"/>
    <col min="6367" max="6368" width="19.5703125" style="18" customWidth="1"/>
    <col min="6369" max="6369" width="24.5703125" style="18" customWidth="1"/>
    <col min="6370" max="6370" width="19" style="18" customWidth="1"/>
    <col min="6371" max="6371" width="17.7109375" style="18" customWidth="1"/>
    <col min="6372" max="6372" width="19.140625" style="18" customWidth="1"/>
    <col min="6373" max="6373" width="17.85546875" style="18" customWidth="1"/>
    <col min="6374" max="6374" width="16.7109375" style="18" customWidth="1"/>
    <col min="6375" max="6375" width="16.85546875" style="18" customWidth="1"/>
    <col min="6376" max="6377" width="19" style="18" customWidth="1"/>
    <col min="6378" max="6378" width="18.5703125" style="18" customWidth="1"/>
    <col min="6379" max="6379" width="19" style="18" customWidth="1"/>
    <col min="6380" max="6380" width="17.140625" style="18" customWidth="1"/>
    <col min="6381" max="6382" width="18" style="18" customWidth="1"/>
    <col min="6383" max="6385" width="16" style="18" customWidth="1"/>
    <col min="6386" max="6386" width="15.85546875" style="18" customWidth="1"/>
    <col min="6387" max="6387" width="15.7109375" style="18" customWidth="1"/>
    <col min="6388" max="6618" width="9.140625" style="18"/>
    <col min="6619" max="6619" width="7.140625" style="18" customWidth="1"/>
    <col min="6620" max="6620" width="55.42578125" style="18" customWidth="1"/>
    <col min="6621" max="6621" width="42.7109375" style="18" customWidth="1"/>
    <col min="6622" max="6622" width="20.7109375" style="18" customWidth="1"/>
    <col min="6623" max="6624" width="19.5703125" style="18" customWidth="1"/>
    <col min="6625" max="6625" width="24.5703125" style="18" customWidth="1"/>
    <col min="6626" max="6626" width="19" style="18" customWidth="1"/>
    <col min="6627" max="6627" width="17.7109375" style="18" customWidth="1"/>
    <col min="6628" max="6628" width="19.140625" style="18" customWidth="1"/>
    <col min="6629" max="6629" width="17.85546875" style="18" customWidth="1"/>
    <col min="6630" max="6630" width="16.7109375" style="18" customWidth="1"/>
    <col min="6631" max="6631" width="16.85546875" style="18" customWidth="1"/>
    <col min="6632" max="6633" width="19" style="18" customWidth="1"/>
    <col min="6634" max="6634" width="18.5703125" style="18" customWidth="1"/>
    <col min="6635" max="6635" width="19" style="18" customWidth="1"/>
    <col min="6636" max="6636" width="17.140625" style="18" customWidth="1"/>
    <col min="6637" max="6638" width="18" style="18" customWidth="1"/>
    <col min="6639" max="6641" width="16" style="18" customWidth="1"/>
    <col min="6642" max="6642" width="15.85546875" style="18" customWidth="1"/>
    <col min="6643" max="6643" width="15.7109375" style="18" customWidth="1"/>
    <col min="6644" max="6874" width="9.140625" style="18"/>
    <col min="6875" max="6875" width="7.140625" style="18" customWidth="1"/>
    <col min="6876" max="6876" width="55.42578125" style="18" customWidth="1"/>
    <col min="6877" max="6877" width="42.7109375" style="18" customWidth="1"/>
    <col min="6878" max="6878" width="20.7109375" style="18" customWidth="1"/>
    <col min="6879" max="6880" width="19.5703125" style="18" customWidth="1"/>
    <col min="6881" max="6881" width="24.5703125" style="18" customWidth="1"/>
    <col min="6882" max="6882" width="19" style="18" customWidth="1"/>
    <col min="6883" max="6883" width="17.7109375" style="18" customWidth="1"/>
    <col min="6884" max="6884" width="19.140625" style="18" customWidth="1"/>
    <col min="6885" max="6885" width="17.85546875" style="18" customWidth="1"/>
    <col min="6886" max="6886" width="16.7109375" style="18" customWidth="1"/>
    <col min="6887" max="6887" width="16.85546875" style="18" customWidth="1"/>
    <col min="6888" max="6889" width="19" style="18" customWidth="1"/>
    <col min="6890" max="6890" width="18.5703125" style="18" customWidth="1"/>
    <col min="6891" max="6891" width="19" style="18" customWidth="1"/>
    <col min="6892" max="6892" width="17.140625" style="18" customWidth="1"/>
    <col min="6893" max="6894" width="18" style="18" customWidth="1"/>
    <col min="6895" max="6897" width="16" style="18" customWidth="1"/>
    <col min="6898" max="6898" width="15.85546875" style="18" customWidth="1"/>
    <col min="6899" max="6899" width="15.7109375" style="18" customWidth="1"/>
    <col min="6900" max="7130" width="9.140625" style="18"/>
    <col min="7131" max="7131" width="7.140625" style="18" customWidth="1"/>
    <col min="7132" max="7132" width="55.42578125" style="18" customWidth="1"/>
    <col min="7133" max="7133" width="42.7109375" style="18" customWidth="1"/>
    <col min="7134" max="7134" width="20.7109375" style="18" customWidth="1"/>
    <col min="7135" max="7136" width="19.5703125" style="18" customWidth="1"/>
    <col min="7137" max="7137" width="24.5703125" style="18" customWidth="1"/>
    <col min="7138" max="7138" width="19" style="18" customWidth="1"/>
    <col min="7139" max="7139" width="17.7109375" style="18" customWidth="1"/>
    <col min="7140" max="7140" width="19.140625" style="18" customWidth="1"/>
    <col min="7141" max="7141" width="17.85546875" style="18" customWidth="1"/>
    <col min="7142" max="7142" width="16.7109375" style="18" customWidth="1"/>
    <col min="7143" max="7143" width="16.85546875" style="18" customWidth="1"/>
    <col min="7144" max="7145" width="19" style="18" customWidth="1"/>
    <col min="7146" max="7146" width="18.5703125" style="18" customWidth="1"/>
    <col min="7147" max="7147" width="19" style="18" customWidth="1"/>
    <col min="7148" max="7148" width="17.140625" style="18" customWidth="1"/>
    <col min="7149" max="7150" width="18" style="18" customWidth="1"/>
    <col min="7151" max="7153" width="16" style="18" customWidth="1"/>
    <col min="7154" max="7154" width="15.85546875" style="18" customWidth="1"/>
    <col min="7155" max="7155" width="15.7109375" style="18" customWidth="1"/>
    <col min="7156" max="7386" width="9.140625" style="18"/>
    <col min="7387" max="7387" width="7.140625" style="18" customWidth="1"/>
    <col min="7388" max="7388" width="55.42578125" style="18" customWidth="1"/>
    <col min="7389" max="7389" width="42.7109375" style="18" customWidth="1"/>
    <col min="7390" max="7390" width="20.7109375" style="18" customWidth="1"/>
    <col min="7391" max="7392" width="19.5703125" style="18" customWidth="1"/>
    <col min="7393" max="7393" width="24.5703125" style="18" customWidth="1"/>
    <col min="7394" max="7394" width="19" style="18" customWidth="1"/>
    <col min="7395" max="7395" width="17.7109375" style="18" customWidth="1"/>
    <col min="7396" max="7396" width="19.140625" style="18" customWidth="1"/>
    <col min="7397" max="7397" width="17.85546875" style="18" customWidth="1"/>
    <col min="7398" max="7398" width="16.7109375" style="18" customWidth="1"/>
    <col min="7399" max="7399" width="16.85546875" style="18" customWidth="1"/>
    <col min="7400" max="7401" width="19" style="18" customWidth="1"/>
    <col min="7402" max="7402" width="18.5703125" style="18" customWidth="1"/>
    <col min="7403" max="7403" width="19" style="18" customWidth="1"/>
    <col min="7404" max="7404" width="17.140625" style="18" customWidth="1"/>
    <col min="7405" max="7406" width="18" style="18" customWidth="1"/>
    <col min="7407" max="7409" width="16" style="18" customWidth="1"/>
    <col min="7410" max="7410" width="15.85546875" style="18" customWidth="1"/>
    <col min="7411" max="7411" width="15.7109375" style="18" customWidth="1"/>
    <col min="7412" max="7642" width="9.140625" style="18"/>
    <col min="7643" max="7643" width="7.140625" style="18" customWidth="1"/>
    <col min="7644" max="7644" width="55.42578125" style="18" customWidth="1"/>
    <col min="7645" max="7645" width="42.7109375" style="18" customWidth="1"/>
    <col min="7646" max="7646" width="20.7109375" style="18" customWidth="1"/>
    <col min="7647" max="7648" width="19.5703125" style="18" customWidth="1"/>
    <col min="7649" max="7649" width="24.5703125" style="18" customWidth="1"/>
    <col min="7650" max="7650" width="19" style="18" customWidth="1"/>
    <col min="7651" max="7651" width="17.7109375" style="18" customWidth="1"/>
    <col min="7652" max="7652" width="19.140625" style="18" customWidth="1"/>
    <col min="7653" max="7653" width="17.85546875" style="18" customWidth="1"/>
    <col min="7654" max="7654" width="16.7109375" style="18" customWidth="1"/>
    <col min="7655" max="7655" width="16.85546875" style="18" customWidth="1"/>
    <col min="7656" max="7657" width="19" style="18" customWidth="1"/>
    <col min="7658" max="7658" width="18.5703125" style="18" customWidth="1"/>
    <col min="7659" max="7659" width="19" style="18" customWidth="1"/>
    <col min="7660" max="7660" width="17.140625" style="18" customWidth="1"/>
    <col min="7661" max="7662" width="18" style="18" customWidth="1"/>
    <col min="7663" max="7665" width="16" style="18" customWidth="1"/>
    <col min="7666" max="7666" width="15.85546875" style="18" customWidth="1"/>
    <col min="7667" max="7667" width="15.7109375" style="18" customWidth="1"/>
    <col min="7668" max="7898" width="9.140625" style="18"/>
    <col min="7899" max="7899" width="7.140625" style="18" customWidth="1"/>
    <col min="7900" max="7900" width="55.42578125" style="18" customWidth="1"/>
    <col min="7901" max="7901" width="42.7109375" style="18" customWidth="1"/>
    <col min="7902" max="7902" width="20.7109375" style="18" customWidth="1"/>
    <col min="7903" max="7904" width="19.5703125" style="18" customWidth="1"/>
    <col min="7905" max="7905" width="24.5703125" style="18" customWidth="1"/>
    <col min="7906" max="7906" width="19" style="18" customWidth="1"/>
    <col min="7907" max="7907" width="17.7109375" style="18" customWidth="1"/>
    <col min="7908" max="7908" width="19.140625" style="18" customWidth="1"/>
    <col min="7909" max="7909" width="17.85546875" style="18" customWidth="1"/>
    <col min="7910" max="7910" width="16.7109375" style="18" customWidth="1"/>
    <col min="7911" max="7911" width="16.85546875" style="18" customWidth="1"/>
    <col min="7912" max="7913" width="19" style="18" customWidth="1"/>
    <col min="7914" max="7914" width="18.5703125" style="18" customWidth="1"/>
    <col min="7915" max="7915" width="19" style="18" customWidth="1"/>
    <col min="7916" max="7916" width="17.140625" style="18" customWidth="1"/>
    <col min="7917" max="7918" width="18" style="18" customWidth="1"/>
    <col min="7919" max="7921" width="16" style="18" customWidth="1"/>
    <col min="7922" max="7922" width="15.85546875" style="18" customWidth="1"/>
    <col min="7923" max="7923" width="15.7109375" style="18" customWidth="1"/>
    <col min="7924" max="8154" width="9.140625" style="18"/>
    <col min="8155" max="8155" width="7.140625" style="18" customWidth="1"/>
    <col min="8156" max="8156" width="55.42578125" style="18" customWidth="1"/>
    <col min="8157" max="8157" width="42.7109375" style="18" customWidth="1"/>
    <col min="8158" max="8158" width="20.7109375" style="18" customWidth="1"/>
    <col min="8159" max="8160" width="19.5703125" style="18" customWidth="1"/>
    <col min="8161" max="8161" width="24.5703125" style="18" customWidth="1"/>
    <col min="8162" max="8162" width="19" style="18" customWidth="1"/>
    <col min="8163" max="8163" width="17.7109375" style="18" customWidth="1"/>
    <col min="8164" max="8164" width="19.140625" style="18" customWidth="1"/>
    <col min="8165" max="8165" width="17.85546875" style="18" customWidth="1"/>
    <col min="8166" max="8166" width="16.7109375" style="18" customWidth="1"/>
    <col min="8167" max="8167" width="16.85546875" style="18" customWidth="1"/>
    <col min="8168" max="8169" width="19" style="18" customWidth="1"/>
    <col min="8170" max="8170" width="18.5703125" style="18" customWidth="1"/>
    <col min="8171" max="8171" width="19" style="18" customWidth="1"/>
    <col min="8172" max="8172" width="17.140625" style="18" customWidth="1"/>
    <col min="8173" max="8174" width="18" style="18" customWidth="1"/>
    <col min="8175" max="8177" width="16" style="18" customWidth="1"/>
    <col min="8178" max="8178" width="15.85546875" style="18" customWidth="1"/>
    <col min="8179" max="8179" width="15.7109375" style="18" customWidth="1"/>
    <col min="8180" max="8410" width="9.140625" style="18"/>
    <col min="8411" max="8411" width="7.140625" style="18" customWidth="1"/>
    <col min="8412" max="8412" width="55.42578125" style="18" customWidth="1"/>
    <col min="8413" max="8413" width="42.7109375" style="18" customWidth="1"/>
    <col min="8414" max="8414" width="20.7109375" style="18" customWidth="1"/>
    <col min="8415" max="8416" width="19.5703125" style="18" customWidth="1"/>
    <col min="8417" max="8417" width="24.5703125" style="18" customWidth="1"/>
    <col min="8418" max="8418" width="19" style="18" customWidth="1"/>
    <col min="8419" max="8419" width="17.7109375" style="18" customWidth="1"/>
    <col min="8420" max="8420" width="19.140625" style="18" customWidth="1"/>
    <col min="8421" max="8421" width="17.85546875" style="18" customWidth="1"/>
    <col min="8422" max="8422" width="16.7109375" style="18" customWidth="1"/>
    <col min="8423" max="8423" width="16.85546875" style="18" customWidth="1"/>
    <col min="8424" max="8425" width="19" style="18" customWidth="1"/>
    <col min="8426" max="8426" width="18.5703125" style="18" customWidth="1"/>
    <col min="8427" max="8427" width="19" style="18" customWidth="1"/>
    <col min="8428" max="8428" width="17.140625" style="18" customWidth="1"/>
    <col min="8429" max="8430" width="18" style="18" customWidth="1"/>
    <col min="8431" max="8433" width="16" style="18" customWidth="1"/>
    <col min="8434" max="8434" width="15.85546875" style="18" customWidth="1"/>
    <col min="8435" max="8435" width="15.7109375" style="18" customWidth="1"/>
    <col min="8436" max="8666" width="9.140625" style="18"/>
    <col min="8667" max="8667" width="7.140625" style="18" customWidth="1"/>
    <col min="8668" max="8668" width="55.42578125" style="18" customWidth="1"/>
    <col min="8669" max="8669" width="42.7109375" style="18" customWidth="1"/>
    <col min="8670" max="8670" width="20.7109375" style="18" customWidth="1"/>
    <col min="8671" max="8672" width="19.5703125" style="18" customWidth="1"/>
    <col min="8673" max="8673" width="24.5703125" style="18" customWidth="1"/>
    <col min="8674" max="8674" width="19" style="18" customWidth="1"/>
    <col min="8675" max="8675" width="17.7109375" style="18" customWidth="1"/>
    <col min="8676" max="8676" width="19.140625" style="18" customWidth="1"/>
    <col min="8677" max="8677" width="17.85546875" style="18" customWidth="1"/>
    <col min="8678" max="8678" width="16.7109375" style="18" customWidth="1"/>
    <col min="8679" max="8679" width="16.85546875" style="18" customWidth="1"/>
    <col min="8680" max="8681" width="19" style="18" customWidth="1"/>
    <col min="8682" max="8682" width="18.5703125" style="18" customWidth="1"/>
    <col min="8683" max="8683" width="19" style="18" customWidth="1"/>
    <col min="8684" max="8684" width="17.140625" style="18" customWidth="1"/>
    <col min="8685" max="8686" width="18" style="18" customWidth="1"/>
    <col min="8687" max="8689" width="16" style="18" customWidth="1"/>
    <col min="8690" max="8690" width="15.85546875" style="18" customWidth="1"/>
    <col min="8691" max="8691" width="15.7109375" style="18" customWidth="1"/>
    <col min="8692" max="8922" width="9.140625" style="18"/>
    <col min="8923" max="8923" width="7.140625" style="18" customWidth="1"/>
    <col min="8924" max="8924" width="55.42578125" style="18" customWidth="1"/>
    <col min="8925" max="8925" width="42.7109375" style="18" customWidth="1"/>
    <col min="8926" max="8926" width="20.7109375" style="18" customWidth="1"/>
    <col min="8927" max="8928" width="19.5703125" style="18" customWidth="1"/>
    <col min="8929" max="8929" width="24.5703125" style="18" customWidth="1"/>
    <col min="8930" max="8930" width="19" style="18" customWidth="1"/>
    <col min="8931" max="8931" width="17.7109375" style="18" customWidth="1"/>
    <col min="8932" max="8932" width="19.140625" style="18" customWidth="1"/>
    <col min="8933" max="8933" width="17.85546875" style="18" customWidth="1"/>
    <col min="8934" max="8934" width="16.7109375" style="18" customWidth="1"/>
    <col min="8935" max="8935" width="16.85546875" style="18" customWidth="1"/>
    <col min="8936" max="8937" width="19" style="18" customWidth="1"/>
    <col min="8938" max="8938" width="18.5703125" style="18" customWidth="1"/>
    <col min="8939" max="8939" width="19" style="18" customWidth="1"/>
    <col min="8940" max="8940" width="17.140625" style="18" customWidth="1"/>
    <col min="8941" max="8942" width="18" style="18" customWidth="1"/>
    <col min="8943" max="8945" width="16" style="18" customWidth="1"/>
    <col min="8946" max="8946" width="15.85546875" style="18" customWidth="1"/>
    <col min="8947" max="8947" width="15.7109375" style="18" customWidth="1"/>
    <col min="8948" max="9178" width="9.140625" style="18"/>
    <col min="9179" max="9179" width="7.140625" style="18" customWidth="1"/>
    <col min="9180" max="9180" width="55.42578125" style="18" customWidth="1"/>
    <col min="9181" max="9181" width="42.7109375" style="18" customWidth="1"/>
    <col min="9182" max="9182" width="20.7109375" style="18" customWidth="1"/>
    <col min="9183" max="9184" width="19.5703125" style="18" customWidth="1"/>
    <col min="9185" max="9185" width="24.5703125" style="18" customWidth="1"/>
    <col min="9186" max="9186" width="19" style="18" customWidth="1"/>
    <col min="9187" max="9187" width="17.7109375" style="18" customWidth="1"/>
    <col min="9188" max="9188" width="19.140625" style="18" customWidth="1"/>
    <col min="9189" max="9189" width="17.85546875" style="18" customWidth="1"/>
    <col min="9190" max="9190" width="16.7109375" style="18" customWidth="1"/>
    <col min="9191" max="9191" width="16.85546875" style="18" customWidth="1"/>
    <col min="9192" max="9193" width="19" style="18" customWidth="1"/>
    <col min="9194" max="9194" width="18.5703125" style="18" customWidth="1"/>
    <col min="9195" max="9195" width="19" style="18" customWidth="1"/>
    <col min="9196" max="9196" width="17.140625" style="18" customWidth="1"/>
    <col min="9197" max="9198" width="18" style="18" customWidth="1"/>
    <col min="9199" max="9201" width="16" style="18" customWidth="1"/>
    <col min="9202" max="9202" width="15.85546875" style="18" customWidth="1"/>
    <col min="9203" max="9203" width="15.7109375" style="18" customWidth="1"/>
    <col min="9204" max="9434" width="9.140625" style="18"/>
    <col min="9435" max="9435" width="7.140625" style="18" customWidth="1"/>
    <col min="9436" max="9436" width="55.42578125" style="18" customWidth="1"/>
    <col min="9437" max="9437" width="42.7109375" style="18" customWidth="1"/>
    <col min="9438" max="9438" width="20.7109375" style="18" customWidth="1"/>
    <col min="9439" max="9440" width="19.5703125" style="18" customWidth="1"/>
    <col min="9441" max="9441" width="24.5703125" style="18" customWidth="1"/>
    <col min="9442" max="9442" width="19" style="18" customWidth="1"/>
    <col min="9443" max="9443" width="17.7109375" style="18" customWidth="1"/>
    <col min="9444" max="9444" width="19.140625" style="18" customWidth="1"/>
    <col min="9445" max="9445" width="17.85546875" style="18" customWidth="1"/>
    <col min="9446" max="9446" width="16.7109375" style="18" customWidth="1"/>
    <col min="9447" max="9447" width="16.85546875" style="18" customWidth="1"/>
    <col min="9448" max="9449" width="19" style="18" customWidth="1"/>
    <col min="9450" max="9450" width="18.5703125" style="18" customWidth="1"/>
    <col min="9451" max="9451" width="19" style="18" customWidth="1"/>
    <col min="9452" max="9452" width="17.140625" style="18" customWidth="1"/>
    <col min="9453" max="9454" width="18" style="18" customWidth="1"/>
    <col min="9455" max="9457" width="16" style="18" customWidth="1"/>
    <col min="9458" max="9458" width="15.85546875" style="18" customWidth="1"/>
    <col min="9459" max="9459" width="15.7109375" style="18" customWidth="1"/>
    <col min="9460" max="9690" width="9.140625" style="18"/>
    <col min="9691" max="9691" width="7.140625" style="18" customWidth="1"/>
    <col min="9692" max="9692" width="55.42578125" style="18" customWidth="1"/>
    <col min="9693" max="9693" width="42.7109375" style="18" customWidth="1"/>
    <col min="9694" max="9694" width="20.7109375" style="18" customWidth="1"/>
    <col min="9695" max="9696" width="19.5703125" style="18" customWidth="1"/>
    <col min="9697" max="9697" width="24.5703125" style="18" customWidth="1"/>
    <col min="9698" max="9698" width="19" style="18" customWidth="1"/>
    <col min="9699" max="9699" width="17.7109375" style="18" customWidth="1"/>
    <col min="9700" max="9700" width="19.140625" style="18" customWidth="1"/>
    <col min="9701" max="9701" width="17.85546875" style="18" customWidth="1"/>
    <col min="9702" max="9702" width="16.7109375" style="18" customWidth="1"/>
    <col min="9703" max="9703" width="16.85546875" style="18" customWidth="1"/>
    <col min="9704" max="9705" width="19" style="18" customWidth="1"/>
    <col min="9706" max="9706" width="18.5703125" style="18" customWidth="1"/>
    <col min="9707" max="9707" width="19" style="18" customWidth="1"/>
    <col min="9708" max="9708" width="17.140625" style="18" customWidth="1"/>
    <col min="9709" max="9710" width="18" style="18" customWidth="1"/>
    <col min="9711" max="9713" width="16" style="18" customWidth="1"/>
    <col min="9714" max="9714" width="15.85546875" style="18" customWidth="1"/>
    <col min="9715" max="9715" width="15.7109375" style="18" customWidth="1"/>
    <col min="9716" max="9946" width="9.140625" style="18"/>
    <col min="9947" max="9947" width="7.140625" style="18" customWidth="1"/>
    <col min="9948" max="9948" width="55.42578125" style="18" customWidth="1"/>
    <col min="9949" max="9949" width="42.7109375" style="18" customWidth="1"/>
    <col min="9950" max="9950" width="20.7109375" style="18" customWidth="1"/>
    <col min="9951" max="9952" width="19.5703125" style="18" customWidth="1"/>
    <col min="9953" max="9953" width="24.5703125" style="18" customWidth="1"/>
    <col min="9954" max="9954" width="19" style="18" customWidth="1"/>
    <col min="9955" max="9955" width="17.7109375" style="18" customWidth="1"/>
    <col min="9956" max="9956" width="19.140625" style="18" customWidth="1"/>
    <col min="9957" max="9957" width="17.85546875" style="18" customWidth="1"/>
    <col min="9958" max="9958" width="16.7109375" style="18" customWidth="1"/>
    <col min="9959" max="9959" width="16.85546875" style="18" customWidth="1"/>
    <col min="9960" max="9961" width="19" style="18" customWidth="1"/>
    <col min="9962" max="9962" width="18.5703125" style="18" customWidth="1"/>
    <col min="9963" max="9963" width="19" style="18" customWidth="1"/>
    <col min="9964" max="9964" width="17.140625" style="18" customWidth="1"/>
    <col min="9965" max="9966" width="18" style="18" customWidth="1"/>
    <col min="9967" max="9969" width="16" style="18" customWidth="1"/>
    <col min="9970" max="9970" width="15.85546875" style="18" customWidth="1"/>
    <col min="9971" max="9971" width="15.7109375" style="18" customWidth="1"/>
    <col min="9972" max="10202" width="9.140625" style="18"/>
    <col min="10203" max="10203" width="7.140625" style="18" customWidth="1"/>
    <col min="10204" max="10204" width="55.42578125" style="18" customWidth="1"/>
    <col min="10205" max="10205" width="42.7109375" style="18" customWidth="1"/>
    <col min="10206" max="10206" width="20.7109375" style="18" customWidth="1"/>
    <col min="10207" max="10208" width="19.5703125" style="18" customWidth="1"/>
    <col min="10209" max="10209" width="24.5703125" style="18" customWidth="1"/>
    <col min="10210" max="10210" width="19" style="18" customWidth="1"/>
    <col min="10211" max="10211" width="17.7109375" style="18" customWidth="1"/>
    <col min="10212" max="10212" width="19.140625" style="18" customWidth="1"/>
    <col min="10213" max="10213" width="17.85546875" style="18" customWidth="1"/>
    <col min="10214" max="10214" width="16.7109375" style="18" customWidth="1"/>
    <col min="10215" max="10215" width="16.85546875" style="18" customWidth="1"/>
    <col min="10216" max="10217" width="19" style="18" customWidth="1"/>
    <col min="10218" max="10218" width="18.5703125" style="18" customWidth="1"/>
    <col min="10219" max="10219" width="19" style="18" customWidth="1"/>
    <col min="10220" max="10220" width="17.140625" style="18" customWidth="1"/>
    <col min="10221" max="10222" width="18" style="18" customWidth="1"/>
    <col min="10223" max="10225" width="16" style="18" customWidth="1"/>
    <col min="10226" max="10226" width="15.85546875" style="18" customWidth="1"/>
    <col min="10227" max="10227" width="15.7109375" style="18" customWidth="1"/>
    <col min="10228" max="10458" width="9.140625" style="18"/>
    <col min="10459" max="10459" width="7.140625" style="18" customWidth="1"/>
    <col min="10460" max="10460" width="55.42578125" style="18" customWidth="1"/>
    <col min="10461" max="10461" width="42.7109375" style="18" customWidth="1"/>
    <col min="10462" max="10462" width="20.7109375" style="18" customWidth="1"/>
    <col min="10463" max="10464" width="19.5703125" style="18" customWidth="1"/>
    <col min="10465" max="10465" width="24.5703125" style="18" customWidth="1"/>
    <col min="10466" max="10466" width="19" style="18" customWidth="1"/>
    <col min="10467" max="10467" width="17.7109375" style="18" customWidth="1"/>
    <col min="10468" max="10468" width="19.140625" style="18" customWidth="1"/>
    <col min="10469" max="10469" width="17.85546875" style="18" customWidth="1"/>
    <col min="10470" max="10470" width="16.7109375" style="18" customWidth="1"/>
    <col min="10471" max="10471" width="16.85546875" style="18" customWidth="1"/>
    <col min="10472" max="10473" width="19" style="18" customWidth="1"/>
    <col min="10474" max="10474" width="18.5703125" style="18" customWidth="1"/>
    <col min="10475" max="10475" width="19" style="18" customWidth="1"/>
    <col min="10476" max="10476" width="17.140625" style="18" customWidth="1"/>
    <col min="10477" max="10478" width="18" style="18" customWidth="1"/>
    <col min="10479" max="10481" width="16" style="18" customWidth="1"/>
    <col min="10482" max="10482" width="15.85546875" style="18" customWidth="1"/>
    <col min="10483" max="10483" width="15.7109375" style="18" customWidth="1"/>
    <col min="10484" max="10714" width="9.140625" style="18"/>
    <col min="10715" max="10715" width="7.140625" style="18" customWidth="1"/>
    <col min="10716" max="10716" width="55.42578125" style="18" customWidth="1"/>
    <col min="10717" max="10717" width="42.7109375" style="18" customWidth="1"/>
    <col min="10718" max="10718" width="20.7109375" style="18" customWidth="1"/>
    <col min="10719" max="10720" width="19.5703125" style="18" customWidth="1"/>
    <col min="10721" max="10721" width="24.5703125" style="18" customWidth="1"/>
    <col min="10722" max="10722" width="19" style="18" customWidth="1"/>
    <col min="10723" max="10723" width="17.7109375" style="18" customWidth="1"/>
    <col min="10724" max="10724" width="19.140625" style="18" customWidth="1"/>
    <col min="10725" max="10725" width="17.85546875" style="18" customWidth="1"/>
    <col min="10726" max="10726" width="16.7109375" style="18" customWidth="1"/>
    <col min="10727" max="10727" width="16.85546875" style="18" customWidth="1"/>
    <col min="10728" max="10729" width="19" style="18" customWidth="1"/>
    <col min="10730" max="10730" width="18.5703125" style="18" customWidth="1"/>
    <col min="10731" max="10731" width="19" style="18" customWidth="1"/>
    <col min="10732" max="10732" width="17.140625" style="18" customWidth="1"/>
    <col min="10733" max="10734" width="18" style="18" customWidth="1"/>
    <col min="10735" max="10737" width="16" style="18" customWidth="1"/>
    <col min="10738" max="10738" width="15.85546875" style="18" customWidth="1"/>
    <col min="10739" max="10739" width="15.7109375" style="18" customWidth="1"/>
    <col min="10740" max="10970" width="9.140625" style="18"/>
    <col min="10971" max="10971" width="7.140625" style="18" customWidth="1"/>
    <col min="10972" max="10972" width="55.42578125" style="18" customWidth="1"/>
    <col min="10973" max="10973" width="42.7109375" style="18" customWidth="1"/>
    <col min="10974" max="10974" width="20.7109375" style="18" customWidth="1"/>
    <col min="10975" max="10976" width="19.5703125" style="18" customWidth="1"/>
    <col min="10977" max="10977" width="24.5703125" style="18" customWidth="1"/>
    <col min="10978" max="10978" width="19" style="18" customWidth="1"/>
    <col min="10979" max="10979" width="17.7109375" style="18" customWidth="1"/>
    <col min="10980" max="10980" width="19.140625" style="18" customWidth="1"/>
    <col min="10981" max="10981" width="17.85546875" style="18" customWidth="1"/>
    <col min="10982" max="10982" width="16.7109375" style="18" customWidth="1"/>
    <col min="10983" max="10983" width="16.85546875" style="18" customWidth="1"/>
    <col min="10984" max="10985" width="19" style="18" customWidth="1"/>
    <col min="10986" max="10986" width="18.5703125" style="18" customWidth="1"/>
    <col min="10987" max="10987" width="19" style="18" customWidth="1"/>
    <col min="10988" max="10988" width="17.140625" style="18" customWidth="1"/>
    <col min="10989" max="10990" width="18" style="18" customWidth="1"/>
    <col min="10991" max="10993" width="16" style="18" customWidth="1"/>
    <col min="10994" max="10994" width="15.85546875" style="18" customWidth="1"/>
    <col min="10995" max="10995" width="15.7109375" style="18" customWidth="1"/>
    <col min="10996" max="11226" width="9.140625" style="18"/>
    <col min="11227" max="11227" width="7.140625" style="18" customWidth="1"/>
    <col min="11228" max="11228" width="55.42578125" style="18" customWidth="1"/>
    <col min="11229" max="11229" width="42.7109375" style="18" customWidth="1"/>
    <col min="11230" max="11230" width="20.7109375" style="18" customWidth="1"/>
    <col min="11231" max="11232" width="19.5703125" style="18" customWidth="1"/>
    <col min="11233" max="11233" width="24.5703125" style="18" customWidth="1"/>
    <col min="11234" max="11234" width="19" style="18" customWidth="1"/>
    <col min="11235" max="11235" width="17.7109375" style="18" customWidth="1"/>
    <col min="11236" max="11236" width="19.140625" style="18" customWidth="1"/>
    <col min="11237" max="11237" width="17.85546875" style="18" customWidth="1"/>
    <col min="11238" max="11238" width="16.7109375" style="18" customWidth="1"/>
    <col min="11239" max="11239" width="16.85546875" style="18" customWidth="1"/>
    <col min="11240" max="11241" width="19" style="18" customWidth="1"/>
    <col min="11242" max="11242" width="18.5703125" style="18" customWidth="1"/>
    <col min="11243" max="11243" width="19" style="18" customWidth="1"/>
    <col min="11244" max="11244" width="17.140625" style="18" customWidth="1"/>
    <col min="11245" max="11246" width="18" style="18" customWidth="1"/>
    <col min="11247" max="11249" width="16" style="18" customWidth="1"/>
    <col min="11250" max="11250" width="15.85546875" style="18" customWidth="1"/>
    <col min="11251" max="11251" width="15.7109375" style="18" customWidth="1"/>
    <col min="11252" max="11482" width="9.140625" style="18"/>
    <col min="11483" max="11483" width="7.140625" style="18" customWidth="1"/>
    <col min="11484" max="11484" width="55.42578125" style="18" customWidth="1"/>
    <col min="11485" max="11485" width="42.7109375" style="18" customWidth="1"/>
    <col min="11486" max="11486" width="20.7109375" style="18" customWidth="1"/>
    <col min="11487" max="11488" width="19.5703125" style="18" customWidth="1"/>
    <col min="11489" max="11489" width="24.5703125" style="18" customWidth="1"/>
    <col min="11490" max="11490" width="19" style="18" customWidth="1"/>
    <col min="11491" max="11491" width="17.7109375" style="18" customWidth="1"/>
    <col min="11492" max="11492" width="19.140625" style="18" customWidth="1"/>
    <col min="11493" max="11493" width="17.85546875" style="18" customWidth="1"/>
    <col min="11494" max="11494" width="16.7109375" style="18" customWidth="1"/>
    <col min="11495" max="11495" width="16.85546875" style="18" customWidth="1"/>
    <col min="11496" max="11497" width="19" style="18" customWidth="1"/>
    <col min="11498" max="11498" width="18.5703125" style="18" customWidth="1"/>
    <col min="11499" max="11499" width="19" style="18" customWidth="1"/>
    <col min="11500" max="11500" width="17.140625" style="18" customWidth="1"/>
    <col min="11501" max="11502" width="18" style="18" customWidth="1"/>
    <col min="11503" max="11505" width="16" style="18" customWidth="1"/>
    <col min="11506" max="11506" width="15.85546875" style="18" customWidth="1"/>
    <col min="11507" max="11507" width="15.7109375" style="18" customWidth="1"/>
    <col min="11508" max="11738" width="9.140625" style="18"/>
    <col min="11739" max="11739" width="7.140625" style="18" customWidth="1"/>
    <col min="11740" max="11740" width="55.42578125" style="18" customWidth="1"/>
    <col min="11741" max="11741" width="42.7109375" style="18" customWidth="1"/>
    <col min="11742" max="11742" width="20.7109375" style="18" customWidth="1"/>
    <col min="11743" max="11744" width="19.5703125" style="18" customWidth="1"/>
    <col min="11745" max="11745" width="24.5703125" style="18" customWidth="1"/>
    <col min="11746" max="11746" width="19" style="18" customWidth="1"/>
    <col min="11747" max="11747" width="17.7109375" style="18" customWidth="1"/>
    <col min="11748" max="11748" width="19.140625" style="18" customWidth="1"/>
    <col min="11749" max="11749" width="17.85546875" style="18" customWidth="1"/>
    <col min="11750" max="11750" width="16.7109375" style="18" customWidth="1"/>
    <col min="11751" max="11751" width="16.85546875" style="18" customWidth="1"/>
    <col min="11752" max="11753" width="19" style="18" customWidth="1"/>
    <col min="11754" max="11754" width="18.5703125" style="18" customWidth="1"/>
    <col min="11755" max="11755" width="19" style="18" customWidth="1"/>
    <col min="11756" max="11756" width="17.140625" style="18" customWidth="1"/>
    <col min="11757" max="11758" width="18" style="18" customWidth="1"/>
    <col min="11759" max="11761" width="16" style="18" customWidth="1"/>
    <col min="11762" max="11762" width="15.85546875" style="18" customWidth="1"/>
    <col min="11763" max="11763" width="15.7109375" style="18" customWidth="1"/>
    <col min="11764" max="11994" width="9.140625" style="18"/>
    <col min="11995" max="11995" width="7.140625" style="18" customWidth="1"/>
    <col min="11996" max="11996" width="55.42578125" style="18" customWidth="1"/>
    <col min="11997" max="11997" width="42.7109375" style="18" customWidth="1"/>
    <col min="11998" max="11998" width="20.7109375" style="18" customWidth="1"/>
    <col min="11999" max="12000" width="19.5703125" style="18" customWidth="1"/>
    <col min="12001" max="12001" width="24.5703125" style="18" customWidth="1"/>
    <col min="12002" max="12002" width="19" style="18" customWidth="1"/>
    <col min="12003" max="12003" width="17.7109375" style="18" customWidth="1"/>
    <col min="12004" max="12004" width="19.140625" style="18" customWidth="1"/>
    <col min="12005" max="12005" width="17.85546875" style="18" customWidth="1"/>
    <col min="12006" max="12006" width="16.7109375" style="18" customWidth="1"/>
    <col min="12007" max="12007" width="16.85546875" style="18" customWidth="1"/>
    <col min="12008" max="12009" width="19" style="18" customWidth="1"/>
    <col min="12010" max="12010" width="18.5703125" style="18" customWidth="1"/>
    <col min="12011" max="12011" width="19" style="18" customWidth="1"/>
    <col min="12012" max="12012" width="17.140625" style="18" customWidth="1"/>
    <col min="12013" max="12014" width="18" style="18" customWidth="1"/>
    <col min="12015" max="12017" width="16" style="18" customWidth="1"/>
    <col min="12018" max="12018" width="15.85546875" style="18" customWidth="1"/>
    <col min="12019" max="12019" width="15.7109375" style="18" customWidth="1"/>
    <col min="12020" max="12250" width="9.140625" style="18"/>
    <col min="12251" max="12251" width="7.140625" style="18" customWidth="1"/>
    <col min="12252" max="12252" width="55.42578125" style="18" customWidth="1"/>
    <col min="12253" max="12253" width="42.7109375" style="18" customWidth="1"/>
    <col min="12254" max="12254" width="20.7109375" style="18" customWidth="1"/>
    <col min="12255" max="12256" width="19.5703125" style="18" customWidth="1"/>
    <col min="12257" max="12257" width="24.5703125" style="18" customWidth="1"/>
    <col min="12258" max="12258" width="19" style="18" customWidth="1"/>
    <col min="12259" max="12259" width="17.7109375" style="18" customWidth="1"/>
    <col min="12260" max="12260" width="19.140625" style="18" customWidth="1"/>
    <col min="12261" max="12261" width="17.85546875" style="18" customWidth="1"/>
    <col min="12262" max="12262" width="16.7109375" style="18" customWidth="1"/>
    <col min="12263" max="12263" width="16.85546875" style="18" customWidth="1"/>
    <col min="12264" max="12265" width="19" style="18" customWidth="1"/>
    <col min="12266" max="12266" width="18.5703125" style="18" customWidth="1"/>
    <col min="12267" max="12267" width="19" style="18" customWidth="1"/>
    <col min="12268" max="12268" width="17.140625" style="18" customWidth="1"/>
    <col min="12269" max="12270" width="18" style="18" customWidth="1"/>
    <col min="12271" max="12273" width="16" style="18" customWidth="1"/>
    <col min="12274" max="12274" width="15.85546875" style="18" customWidth="1"/>
    <col min="12275" max="12275" width="15.7109375" style="18" customWidth="1"/>
    <col min="12276" max="12506" width="9.140625" style="18"/>
    <col min="12507" max="12507" width="7.140625" style="18" customWidth="1"/>
    <col min="12508" max="12508" width="55.42578125" style="18" customWidth="1"/>
    <col min="12509" max="12509" width="42.7109375" style="18" customWidth="1"/>
    <col min="12510" max="12510" width="20.7109375" style="18" customWidth="1"/>
    <col min="12511" max="12512" width="19.5703125" style="18" customWidth="1"/>
    <col min="12513" max="12513" width="24.5703125" style="18" customWidth="1"/>
    <col min="12514" max="12514" width="19" style="18" customWidth="1"/>
    <col min="12515" max="12515" width="17.7109375" style="18" customWidth="1"/>
    <col min="12516" max="12516" width="19.140625" style="18" customWidth="1"/>
    <col min="12517" max="12517" width="17.85546875" style="18" customWidth="1"/>
    <col min="12518" max="12518" width="16.7109375" style="18" customWidth="1"/>
    <col min="12519" max="12519" width="16.85546875" style="18" customWidth="1"/>
    <col min="12520" max="12521" width="19" style="18" customWidth="1"/>
    <col min="12522" max="12522" width="18.5703125" style="18" customWidth="1"/>
    <col min="12523" max="12523" width="19" style="18" customWidth="1"/>
    <col min="12524" max="12524" width="17.140625" style="18" customWidth="1"/>
    <col min="12525" max="12526" width="18" style="18" customWidth="1"/>
    <col min="12527" max="12529" width="16" style="18" customWidth="1"/>
    <col min="12530" max="12530" width="15.85546875" style="18" customWidth="1"/>
    <col min="12531" max="12531" width="15.7109375" style="18" customWidth="1"/>
    <col min="12532" max="12762" width="9.140625" style="18"/>
    <col min="12763" max="12763" width="7.140625" style="18" customWidth="1"/>
    <col min="12764" max="12764" width="55.42578125" style="18" customWidth="1"/>
    <col min="12765" max="12765" width="42.7109375" style="18" customWidth="1"/>
    <col min="12766" max="12766" width="20.7109375" style="18" customWidth="1"/>
    <col min="12767" max="12768" width="19.5703125" style="18" customWidth="1"/>
    <col min="12769" max="12769" width="24.5703125" style="18" customWidth="1"/>
    <col min="12770" max="12770" width="19" style="18" customWidth="1"/>
    <col min="12771" max="12771" width="17.7109375" style="18" customWidth="1"/>
    <col min="12772" max="12772" width="19.140625" style="18" customWidth="1"/>
    <col min="12773" max="12773" width="17.85546875" style="18" customWidth="1"/>
    <col min="12774" max="12774" width="16.7109375" style="18" customWidth="1"/>
    <col min="12775" max="12775" width="16.85546875" style="18" customWidth="1"/>
    <col min="12776" max="12777" width="19" style="18" customWidth="1"/>
    <col min="12778" max="12778" width="18.5703125" style="18" customWidth="1"/>
    <col min="12779" max="12779" width="19" style="18" customWidth="1"/>
    <col min="12780" max="12780" width="17.140625" style="18" customWidth="1"/>
    <col min="12781" max="12782" width="18" style="18" customWidth="1"/>
    <col min="12783" max="12785" width="16" style="18" customWidth="1"/>
    <col min="12786" max="12786" width="15.85546875" style="18" customWidth="1"/>
    <col min="12787" max="12787" width="15.7109375" style="18" customWidth="1"/>
    <col min="12788" max="13018" width="9.140625" style="18"/>
    <col min="13019" max="13019" width="7.140625" style="18" customWidth="1"/>
    <col min="13020" max="13020" width="55.42578125" style="18" customWidth="1"/>
    <col min="13021" max="13021" width="42.7109375" style="18" customWidth="1"/>
    <col min="13022" max="13022" width="20.7109375" style="18" customWidth="1"/>
    <col min="13023" max="13024" width="19.5703125" style="18" customWidth="1"/>
    <col min="13025" max="13025" width="24.5703125" style="18" customWidth="1"/>
    <col min="13026" max="13026" width="19" style="18" customWidth="1"/>
    <col min="13027" max="13027" width="17.7109375" style="18" customWidth="1"/>
    <col min="13028" max="13028" width="19.140625" style="18" customWidth="1"/>
    <col min="13029" max="13029" width="17.85546875" style="18" customWidth="1"/>
    <col min="13030" max="13030" width="16.7109375" style="18" customWidth="1"/>
    <col min="13031" max="13031" width="16.85546875" style="18" customWidth="1"/>
    <col min="13032" max="13033" width="19" style="18" customWidth="1"/>
    <col min="13034" max="13034" width="18.5703125" style="18" customWidth="1"/>
    <col min="13035" max="13035" width="19" style="18" customWidth="1"/>
    <col min="13036" max="13036" width="17.140625" style="18" customWidth="1"/>
    <col min="13037" max="13038" width="18" style="18" customWidth="1"/>
    <col min="13039" max="13041" width="16" style="18" customWidth="1"/>
    <col min="13042" max="13042" width="15.85546875" style="18" customWidth="1"/>
    <col min="13043" max="13043" width="15.7109375" style="18" customWidth="1"/>
    <col min="13044" max="13274" width="9.140625" style="18"/>
    <col min="13275" max="13275" width="7.140625" style="18" customWidth="1"/>
    <col min="13276" max="13276" width="55.42578125" style="18" customWidth="1"/>
    <col min="13277" max="13277" width="42.7109375" style="18" customWidth="1"/>
    <col min="13278" max="13278" width="20.7109375" style="18" customWidth="1"/>
    <col min="13279" max="13280" width="19.5703125" style="18" customWidth="1"/>
    <col min="13281" max="13281" width="24.5703125" style="18" customWidth="1"/>
    <col min="13282" max="13282" width="19" style="18" customWidth="1"/>
    <col min="13283" max="13283" width="17.7109375" style="18" customWidth="1"/>
    <col min="13284" max="13284" width="19.140625" style="18" customWidth="1"/>
    <col min="13285" max="13285" width="17.85546875" style="18" customWidth="1"/>
    <col min="13286" max="13286" width="16.7109375" style="18" customWidth="1"/>
    <col min="13287" max="13287" width="16.85546875" style="18" customWidth="1"/>
    <col min="13288" max="13289" width="19" style="18" customWidth="1"/>
    <col min="13290" max="13290" width="18.5703125" style="18" customWidth="1"/>
    <col min="13291" max="13291" width="19" style="18" customWidth="1"/>
    <col min="13292" max="13292" width="17.140625" style="18" customWidth="1"/>
    <col min="13293" max="13294" width="18" style="18" customWidth="1"/>
    <col min="13295" max="13297" width="16" style="18" customWidth="1"/>
    <col min="13298" max="13298" width="15.85546875" style="18" customWidth="1"/>
    <col min="13299" max="13299" width="15.7109375" style="18" customWidth="1"/>
    <col min="13300" max="13530" width="9.140625" style="18"/>
    <col min="13531" max="13531" width="7.140625" style="18" customWidth="1"/>
    <col min="13532" max="13532" width="55.42578125" style="18" customWidth="1"/>
    <col min="13533" max="13533" width="42.7109375" style="18" customWidth="1"/>
    <col min="13534" max="13534" width="20.7109375" style="18" customWidth="1"/>
    <col min="13535" max="13536" width="19.5703125" style="18" customWidth="1"/>
    <col min="13537" max="13537" width="24.5703125" style="18" customWidth="1"/>
    <col min="13538" max="13538" width="19" style="18" customWidth="1"/>
    <col min="13539" max="13539" width="17.7109375" style="18" customWidth="1"/>
    <col min="13540" max="13540" width="19.140625" style="18" customWidth="1"/>
    <col min="13541" max="13541" width="17.85546875" style="18" customWidth="1"/>
    <col min="13542" max="13542" width="16.7109375" style="18" customWidth="1"/>
    <col min="13543" max="13543" width="16.85546875" style="18" customWidth="1"/>
    <col min="13544" max="13545" width="19" style="18" customWidth="1"/>
    <col min="13546" max="13546" width="18.5703125" style="18" customWidth="1"/>
    <col min="13547" max="13547" width="19" style="18" customWidth="1"/>
    <col min="13548" max="13548" width="17.140625" style="18" customWidth="1"/>
    <col min="13549" max="13550" width="18" style="18" customWidth="1"/>
    <col min="13551" max="13553" width="16" style="18" customWidth="1"/>
    <col min="13554" max="13554" width="15.85546875" style="18" customWidth="1"/>
    <col min="13555" max="13555" width="15.7109375" style="18" customWidth="1"/>
    <col min="13556" max="13786" width="9.140625" style="18"/>
    <col min="13787" max="13787" width="7.140625" style="18" customWidth="1"/>
    <col min="13788" max="13788" width="55.42578125" style="18" customWidth="1"/>
    <col min="13789" max="13789" width="42.7109375" style="18" customWidth="1"/>
    <col min="13790" max="13790" width="20.7109375" style="18" customWidth="1"/>
    <col min="13791" max="13792" width="19.5703125" style="18" customWidth="1"/>
    <col min="13793" max="13793" width="24.5703125" style="18" customWidth="1"/>
    <col min="13794" max="13794" width="19" style="18" customWidth="1"/>
    <col min="13795" max="13795" width="17.7109375" style="18" customWidth="1"/>
    <col min="13796" max="13796" width="19.140625" style="18" customWidth="1"/>
    <col min="13797" max="13797" width="17.85546875" style="18" customWidth="1"/>
    <col min="13798" max="13798" width="16.7109375" style="18" customWidth="1"/>
    <col min="13799" max="13799" width="16.85546875" style="18" customWidth="1"/>
    <col min="13800" max="13801" width="19" style="18" customWidth="1"/>
    <col min="13802" max="13802" width="18.5703125" style="18" customWidth="1"/>
    <col min="13803" max="13803" width="19" style="18" customWidth="1"/>
    <col min="13804" max="13804" width="17.140625" style="18" customWidth="1"/>
    <col min="13805" max="13806" width="18" style="18" customWidth="1"/>
    <col min="13807" max="13809" width="16" style="18" customWidth="1"/>
    <col min="13810" max="13810" width="15.85546875" style="18" customWidth="1"/>
    <col min="13811" max="13811" width="15.7109375" style="18" customWidth="1"/>
    <col min="13812" max="14042" width="9.140625" style="18"/>
    <col min="14043" max="14043" width="7.140625" style="18" customWidth="1"/>
    <col min="14044" max="14044" width="55.42578125" style="18" customWidth="1"/>
    <col min="14045" max="14045" width="42.7109375" style="18" customWidth="1"/>
    <col min="14046" max="14046" width="20.7109375" style="18" customWidth="1"/>
    <col min="14047" max="14048" width="19.5703125" style="18" customWidth="1"/>
    <col min="14049" max="14049" width="24.5703125" style="18" customWidth="1"/>
    <col min="14050" max="14050" width="19" style="18" customWidth="1"/>
    <col min="14051" max="14051" width="17.7109375" style="18" customWidth="1"/>
    <col min="14052" max="14052" width="19.140625" style="18" customWidth="1"/>
    <col min="14053" max="14053" width="17.85546875" style="18" customWidth="1"/>
    <col min="14054" max="14054" width="16.7109375" style="18" customWidth="1"/>
    <col min="14055" max="14055" width="16.85546875" style="18" customWidth="1"/>
    <col min="14056" max="14057" width="19" style="18" customWidth="1"/>
    <col min="14058" max="14058" width="18.5703125" style="18" customWidth="1"/>
    <col min="14059" max="14059" width="19" style="18" customWidth="1"/>
    <col min="14060" max="14060" width="17.140625" style="18" customWidth="1"/>
    <col min="14061" max="14062" width="18" style="18" customWidth="1"/>
    <col min="14063" max="14065" width="16" style="18" customWidth="1"/>
    <col min="14066" max="14066" width="15.85546875" style="18" customWidth="1"/>
    <col min="14067" max="14067" width="15.7109375" style="18" customWidth="1"/>
    <col min="14068" max="14298" width="9.140625" style="18"/>
    <col min="14299" max="14299" width="7.140625" style="18" customWidth="1"/>
    <col min="14300" max="14300" width="55.42578125" style="18" customWidth="1"/>
    <col min="14301" max="14301" width="42.7109375" style="18" customWidth="1"/>
    <col min="14302" max="14302" width="20.7109375" style="18" customWidth="1"/>
    <col min="14303" max="14304" width="19.5703125" style="18" customWidth="1"/>
    <col min="14305" max="14305" width="24.5703125" style="18" customWidth="1"/>
    <col min="14306" max="14306" width="19" style="18" customWidth="1"/>
    <col min="14307" max="14307" width="17.7109375" style="18" customWidth="1"/>
    <col min="14308" max="14308" width="19.140625" style="18" customWidth="1"/>
    <col min="14309" max="14309" width="17.85546875" style="18" customWidth="1"/>
    <col min="14310" max="14310" width="16.7109375" style="18" customWidth="1"/>
    <col min="14311" max="14311" width="16.85546875" style="18" customWidth="1"/>
    <col min="14312" max="14313" width="19" style="18" customWidth="1"/>
    <col min="14314" max="14314" width="18.5703125" style="18" customWidth="1"/>
    <col min="14315" max="14315" width="19" style="18" customWidth="1"/>
    <col min="14316" max="14316" width="17.140625" style="18" customWidth="1"/>
    <col min="14317" max="14318" width="18" style="18" customWidth="1"/>
    <col min="14319" max="14321" width="16" style="18" customWidth="1"/>
    <col min="14322" max="14322" width="15.85546875" style="18" customWidth="1"/>
    <col min="14323" max="14323" width="15.7109375" style="18" customWidth="1"/>
    <col min="14324" max="14554" width="9.140625" style="18"/>
    <col min="14555" max="14555" width="7.140625" style="18" customWidth="1"/>
    <col min="14556" max="14556" width="55.42578125" style="18" customWidth="1"/>
    <col min="14557" max="14557" width="42.7109375" style="18" customWidth="1"/>
    <col min="14558" max="14558" width="20.7109375" style="18" customWidth="1"/>
    <col min="14559" max="14560" width="19.5703125" style="18" customWidth="1"/>
    <col min="14561" max="14561" width="24.5703125" style="18" customWidth="1"/>
    <col min="14562" max="14562" width="19" style="18" customWidth="1"/>
    <col min="14563" max="14563" width="17.7109375" style="18" customWidth="1"/>
    <col min="14564" max="14564" width="19.140625" style="18" customWidth="1"/>
    <col min="14565" max="14565" width="17.85546875" style="18" customWidth="1"/>
    <col min="14566" max="14566" width="16.7109375" style="18" customWidth="1"/>
    <col min="14567" max="14567" width="16.85546875" style="18" customWidth="1"/>
    <col min="14568" max="14569" width="19" style="18" customWidth="1"/>
    <col min="14570" max="14570" width="18.5703125" style="18" customWidth="1"/>
    <col min="14571" max="14571" width="19" style="18" customWidth="1"/>
    <col min="14572" max="14572" width="17.140625" style="18" customWidth="1"/>
    <col min="14573" max="14574" width="18" style="18" customWidth="1"/>
    <col min="14575" max="14577" width="16" style="18" customWidth="1"/>
    <col min="14578" max="14578" width="15.85546875" style="18" customWidth="1"/>
    <col min="14579" max="14579" width="15.7109375" style="18" customWidth="1"/>
    <col min="14580" max="14810" width="9.140625" style="18"/>
    <col min="14811" max="14811" width="7.140625" style="18" customWidth="1"/>
    <col min="14812" max="14812" width="55.42578125" style="18" customWidth="1"/>
    <col min="14813" max="14813" width="42.7109375" style="18" customWidth="1"/>
    <col min="14814" max="14814" width="20.7109375" style="18" customWidth="1"/>
    <col min="14815" max="14816" width="19.5703125" style="18" customWidth="1"/>
    <col min="14817" max="14817" width="24.5703125" style="18" customWidth="1"/>
    <col min="14818" max="14818" width="19" style="18" customWidth="1"/>
    <col min="14819" max="14819" width="17.7109375" style="18" customWidth="1"/>
    <col min="14820" max="14820" width="19.140625" style="18" customWidth="1"/>
    <col min="14821" max="14821" width="17.85546875" style="18" customWidth="1"/>
    <col min="14822" max="14822" width="16.7109375" style="18" customWidth="1"/>
    <col min="14823" max="14823" width="16.85546875" style="18" customWidth="1"/>
    <col min="14824" max="14825" width="19" style="18" customWidth="1"/>
    <col min="14826" max="14826" width="18.5703125" style="18" customWidth="1"/>
    <col min="14827" max="14827" width="19" style="18" customWidth="1"/>
    <col min="14828" max="14828" width="17.140625" style="18" customWidth="1"/>
    <col min="14829" max="14830" width="18" style="18" customWidth="1"/>
    <col min="14831" max="14833" width="16" style="18" customWidth="1"/>
    <col min="14834" max="14834" width="15.85546875" style="18" customWidth="1"/>
    <col min="14835" max="14835" width="15.7109375" style="18" customWidth="1"/>
    <col min="14836" max="15066" width="9.140625" style="18"/>
    <col min="15067" max="15067" width="7.140625" style="18" customWidth="1"/>
    <col min="15068" max="15068" width="55.42578125" style="18" customWidth="1"/>
    <col min="15069" max="15069" width="42.7109375" style="18" customWidth="1"/>
    <col min="15070" max="15070" width="20.7109375" style="18" customWidth="1"/>
    <col min="15071" max="15072" width="19.5703125" style="18" customWidth="1"/>
    <col min="15073" max="15073" width="24.5703125" style="18" customWidth="1"/>
    <col min="15074" max="15074" width="19" style="18" customWidth="1"/>
    <col min="15075" max="15075" width="17.7109375" style="18" customWidth="1"/>
    <col min="15076" max="15076" width="19.140625" style="18" customWidth="1"/>
    <col min="15077" max="15077" width="17.85546875" style="18" customWidth="1"/>
    <col min="15078" max="15078" width="16.7109375" style="18" customWidth="1"/>
    <col min="15079" max="15079" width="16.85546875" style="18" customWidth="1"/>
    <col min="15080" max="15081" width="19" style="18" customWidth="1"/>
    <col min="15082" max="15082" width="18.5703125" style="18" customWidth="1"/>
    <col min="15083" max="15083" width="19" style="18" customWidth="1"/>
    <col min="15084" max="15084" width="17.140625" style="18" customWidth="1"/>
    <col min="15085" max="15086" width="18" style="18" customWidth="1"/>
    <col min="15087" max="15089" width="16" style="18" customWidth="1"/>
    <col min="15090" max="15090" width="15.85546875" style="18" customWidth="1"/>
    <col min="15091" max="15091" width="15.7109375" style="18" customWidth="1"/>
    <col min="15092" max="15322" width="9.140625" style="18"/>
    <col min="15323" max="15323" width="7.140625" style="18" customWidth="1"/>
    <col min="15324" max="15324" width="55.42578125" style="18" customWidth="1"/>
    <col min="15325" max="15325" width="42.7109375" style="18" customWidth="1"/>
    <col min="15326" max="15326" width="20.7109375" style="18" customWidth="1"/>
    <col min="15327" max="15328" width="19.5703125" style="18" customWidth="1"/>
    <col min="15329" max="15329" width="24.5703125" style="18" customWidth="1"/>
    <col min="15330" max="15330" width="19" style="18" customWidth="1"/>
    <col min="15331" max="15331" width="17.7109375" style="18" customWidth="1"/>
    <col min="15332" max="15332" width="19.140625" style="18" customWidth="1"/>
    <col min="15333" max="15333" width="17.85546875" style="18" customWidth="1"/>
    <col min="15334" max="15334" width="16.7109375" style="18" customWidth="1"/>
    <col min="15335" max="15335" width="16.85546875" style="18" customWidth="1"/>
    <col min="15336" max="15337" width="19" style="18" customWidth="1"/>
    <col min="15338" max="15338" width="18.5703125" style="18" customWidth="1"/>
    <col min="15339" max="15339" width="19" style="18" customWidth="1"/>
    <col min="15340" max="15340" width="17.140625" style="18" customWidth="1"/>
    <col min="15341" max="15342" width="18" style="18" customWidth="1"/>
    <col min="15343" max="15345" width="16" style="18" customWidth="1"/>
    <col min="15346" max="15346" width="15.85546875" style="18" customWidth="1"/>
    <col min="15347" max="15347" width="15.7109375" style="18" customWidth="1"/>
    <col min="15348" max="15578" width="9.140625" style="18"/>
    <col min="15579" max="15579" width="7.140625" style="18" customWidth="1"/>
    <col min="15580" max="15580" width="55.42578125" style="18" customWidth="1"/>
    <col min="15581" max="15581" width="42.7109375" style="18" customWidth="1"/>
    <col min="15582" max="15582" width="20.7109375" style="18" customWidth="1"/>
    <col min="15583" max="15584" width="19.5703125" style="18" customWidth="1"/>
    <col min="15585" max="15585" width="24.5703125" style="18" customWidth="1"/>
    <col min="15586" max="15586" width="19" style="18" customWidth="1"/>
    <col min="15587" max="15587" width="17.7109375" style="18" customWidth="1"/>
    <col min="15588" max="15588" width="19.140625" style="18" customWidth="1"/>
    <col min="15589" max="15589" width="17.85546875" style="18" customWidth="1"/>
    <col min="15590" max="15590" width="16.7109375" style="18" customWidth="1"/>
    <col min="15591" max="15591" width="16.85546875" style="18" customWidth="1"/>
    <col min="15592" max="15593" width="19" style="18" customWidth="1"/>
    <col min="15594" max="15594" width="18.5703125" style="18" customWidth="1"/>
    <col min="15595" max="15595" width="19" style="18" customWidth="1"/>
    <col min="15596" max="15596" width="17.140625" style="18" customWidth="1"/>
    <col min="15597" max="15598" width="18" style="18" customWidth="1"/>
    <col min="15599" max="15601" width="16" style="18" customWidth="1"/>
    <col min="15602" max="15602" width="15.85546875" style="18" customWidth="1"/>
    <col min="15603" max="15603" width="15.7109375" style="18" customWidth="1"/>
    <col min="15604" max="15834" width="9.140625" style="18"/>
    <col min="15835" max="15835" width="7.140625" style="18" customWidth="1"/>
    <col min="15836" max="15836" width="55.42578125" style="18" customWidth="1"/>
    <col min="15837" max="15837" width="42.7109375" style="18" customWidth="1"/>
    <col min="15838" max="15838" width="20.7109375" style="18" customWidth="1"/>
    <col min="15839" max="15840" width="19.5703125" style="18" customWidth="1"/>
    <col min="15841" max="15841" width="24.5703125" style="18" customWidth="1"/>
    <col min="15842" max="15842" width="19" style="18" customWidth="1"/>
    <col min="15843" max="15843" width="17.7109375" style="18" customWidth="1"/>
    <col min="15844" max="15844" width="19.140625" style="18" customWidth="1"/>
    <col min="15845" max="15845" width="17.85546875" style="18" customWidth="1"/>
    <col min="15846" max="15846" width="16.7109375" style="18" customWidth="1"/>
    <col min="15847" max="15847" width="16.85546875" style="18" customWidth="1"/>
    <col min="15848" max="15849" width="19" style="18" customWidth="1"/>
    <col min="15850" max="15850" width="18.5703125" style="18" customWidth="1"/>
    <col min="15851" max="15851" width="19" style="18" customWidth="1"/>
    <col min="15852" max="15852" width="17.140625" style="18" customWidth="1"/>
    <col min="15853" max="15854" width="18" style="18" customWidth="1"/>
    <col min="15855" max="15857" width="16" style="18" customWidth="1"/>
    <col min="15858" max="15858" width="15.85546875" style="18" customWidth="1"/>
    <col min="15859" max="15859" width="15.7109375" style="18" customWidth="1"/>
    <col min="15860" max="16090" width="9.140625" style="18"/>
    <col min="16091" max="16091" width="7.140625" style="18" customWidth="1"/>
    <col min="16092" max="16092" width="55.42578125" style="18" customWidth="1"/>
    <col min="16093" max="16093" width="42.7109375" style="18" customWidth="1"/>
    <col min="16094" max="16094" width="20.7109375" style="18" customWidth="1"/>
    <col min="16095" max="16096" width="19.5703125" style="18" customWidth="1"/>
    <col min="16097" max="16097" width="24.5703125" style="18" customWidth="1"/>
    <col min="16098" max="16098" width="19" style="18" customWidth="1"/>
    <col min="16099" max="16099" width="17.7109375" style="18" customWidth="1"/>
    <col min="16100" max="16100" width="19.140625" style="18" customWidth="1"/>
    <col min="16101" max="16101" width="17.85546875" style="18" customWidth="1"/>
    <col min="16102" max="16102" width="16.7109375" style="18" customWidth="1"/>
    <col min="16103" max="16103" width="16.85546875" style="18" customWidth="1"/>
    <col min="16104" max="16105" width="19" style="18" customWidth="1"/>
    <col min="16106" max="16106" width="18.5703125" style="18" customWidth="1"/>
    <col min="16107" max="16107" width="19" style="18" customWidth="1"/>
    <col min="16108" max="16108" width="17.140625" style="18" customWidth="1"/>
    <col min="16109" max="16110" width="18" style="18" customWidth="1"/>
    <col min="16111" max="16113" width="16" style="18" customWidth="1"/>
    <col min="16114" max="16114" width="15.85546875" style="18" customWidth="1"/>
    <col min="16115" max="16115" width="15.7109375" style="18" customWidth="1"/>
    <col min="16116" max="16384" width="9.140625" style="18"/>
  </cols>
  <sheetData>
    <row r="1" spans="1:14" ht="18.75" x14ac:dyDescent="0.25">
      <c r="A1" s="280" t="str">
        <f>'Profit &amp; Loss Statement'!A1:D1</f>
        <v>MICRO – CREDIT ASSOCIATION GHANA</v>
      </c>
      <c r="B1" s="280"/>
      <c r="C1" s="280"/>
      <c r="D1" s="280"/>
      <c r="E1" s="138">
        <f>SUM(D4:D10) + IF(D15=D28,0,1) + IF(D15=D57,0,1) + IF(D15=D52,0,1) +  IF(E15=E28,0,1) +  IF(E15=E52,0,1)</f>
        <v>6</v>
      </c>
      <c r="F1" s="139" t="s">
        <v>632</v>
      </c>
    </row>
    <row r="2" spans="1:14" ht="18.75" x14ac:dyDescent="0.25">
      <c r="A2" s="280" t="str">
        <f>'Profit &amp; Loss Statement'!A2:D2</f>
        <v>MEMBERS REPORTING TEMPLATE</v>
      </c>
      <c r="B2" s="280"/>
      <c r="C2" s="280"/>
      <c r="D2" s="280"/>
    </row>
    <row r="3" spans="1:14" x14ac:dyDescent="0.25">
      <c r="A3" s="20"/>
      <c r="C3" s="58"/>
      <c r="D3" s="16"/>
    </row>
    <row r="4" spans="1:14" x14ac:dyDescent="0.25">
      <c r="A4" s="16"/>
      <c r="B4" s="22" t="s">
        <v>9</v>
      </c>
      <c r="C4" s="59" t="str">
        <f>IF('Profit &amp; Loss Statement'!C4 = "", "", 'Profit &amp; Loss Statement'!C4)</f>
        <v/>
      </c>
      <c r="D4" s="23">
        <f>IF(C4="",1,IF(ISTEXT(C4),0,1))+IF(OR(ISNUMBER(LEFT(C4)),LEFT(C4)=" "),1,0)</f>
        <v>1</v>
      </c>
    </row>
    <row r="5" spans="1:14" x14ac:dyDescent="0.25">
      <c r="A5" s="16"/>
      <c r="B5" s="22" t="s">
        <v>10</v>
      </c>
      <c r="C5" s="59" t="str">
        <f>IF('Profit &amp; Loss Statement'!C5 = "", "", 'Profit &amp; Loss Statement'!C5)</f>
        <v/>
      </c>
      <c r="D5" s="23">
        <f>IF(C5="",1,IF(ISTEXT(C5),0,1))+IF(OR(ISNUMBER(LEFT(C5)),LEFT(C5)=" "),1,0)</f>
        <v>1</v>
      </c>
    </row>
    <row r="6" spans="1:14" x14ac:dyDescent="0.25">
      <c r="A6" s="60"/>
      <c r="B6" s="22" t="s">
        <v>11</v>
      </c>
      <c r="C6" s="256" t="str">
        <f>IF('Profit &amp; Loss Statement'!C6 = "", "", 'Profit &amp; Loss Statement'!C6)</f>
        <v xml:space="preserve">MCAG-PR-UA </v>
      </c>
      <c r="D6" s="23">
        <f>IF(C6="",1,IF(ISTEXT(C6),0,1))</f>
        <v>0</v>
      </c>
    </row>
    <row r="7" spans="1:14" x14ac:dyDescent="0.25">
      <c r="A7" s="16"/>
      <c r="B7" s="22" t="s">
        <v>12</v>
      </c>
      <c r="C7" s="59" t="str">
        <f>IF('Profit &amp; Loss Statement'!C7 = "", "", 'Profit &amp; Loss Statement'!C7)</f>
        <v/>
      </c>
      <c r="D7" s="23">
        <f>IF(C7="",1,IF(ISTEXT(C7),0,1))</f>
        <v>1</v>
      </c>
    </row>
    <row r="8" spans="1:14" ht="19.5" customHeight="1" x14ac:dyDescent="0.25">
      <c r="A8" s="60"/>
      <c r="B8" s="22" t="s">
        <v>13</v>
      </c>
      <c r="C8" s="61" t="str">
        <f>IF('Profit &amp; Loss Statement'!C8 = "", "", 'Profit &amp; Loss Statement'!C8)</f>
        <v/>
      </c>
      <c r="D8" s="23">
        <f>IF(C8="",1, 0)</f>
        <v>1</v>
      </c>
    </row>
    <row r="9" spans="1:14" x14ac:dyDescent="0.25">
      <c r="A9" s="25"/>
      <c r="B9" s="22" t="s">
        <v>14</v>
      </c>
      <c r="C9" s="257" t="str">
        <f>'Profit &amp; Loss Statement'!C9</f>
        <v/>
      </c>
      <c r="D9" s="23">
        <f>IF(C9="",1, 0)</f>
        <v>1</v>
      </c>
    </row>
    <row r="10" spans="1:14" x14ac:dyDescent="0.25">
      <c r="B10" s="22" t="s">
        <v>689</v>
      </c>
      <c r="C10" s="257" t="str">
        <f>IF('Profit &amp; Loss Statement'!C10 = "", "", 'Profit &amp; Loss Statement'!C10)</f>
        <v/>
      </c>
      <c r="D10" s="23">
        <f>IF(C10="",1, 0)</f>
        <v>1</v>
      </c>
      <c r="F10" s="260"/>
      <c r="G10" s="260"/>
    </row>
    <row r="11" spans="1:14" ht="15" x14ac:dyDescent="0.25">
      <c r="B11" s="91"/>
      <c r="F11" s="282" t="s">
        <v>389</v>
      </c>
      <c r="G11" s="283"/>
    </row>
    <row r="12" spans="1:14" x14ac:dyDescent="0.25">
      <c r="B12" s="123" t="s">
        <v>390</v>
      </c>
      <c r="C12" s="124" t="s">
        <v>391</v>
      </c>
      <c r="D12" s="281" t="s">
        <v>392</v>
      </c>
      <c r="E12" s="281"/>
      <c r="F12" s="281" t="str">
        <f>RIGHT(C10,2)</f>
        <v/>
      </c>
      <c r="G12" s="281"/>
    </row>
    <row r="13" spans="1:14" ht="30.75" customHeight="1" x14ac:dyDescent="0.25">
      <c r="A13" s="152" t="s">
        <v>393</v>
      </c>
      <c r="B13" s="153" t="s">
        <v>394</v>
      </c>
      <c r="C13" s="154" t="s">
        <v>395</v>
      </c>
      <c r="D13" s="154" t="s">
        <v>209</v>
      </c>
      <c r="E13" s="155" t="s">
        <v>210</v>
      </c>
      <c r="F13" s="154" t="s">
        <v>209</v>
      </c>
      <c r="G13" s="154" t="s">
        <v>210</v>
      </c>
    </row>
    <row r="14" spans="1:14" ht="90" x14ac:dyDescent="0.25">
      <c r="A14" s="6" t="s">
        <v>21</v>
      </c>
      <c r="B14" s="125" t="s">
        <v>396</v>
      </c>
      <c r="C14" s="126" t="s">
        <v>397</v>
      </c>
      <c r="D14" s="110">
        <f>F14</f>
        <v>0</v>
      </c>
      <c r="E14" s="111">
        <f>ROUND((G14),2)</f>
        <v>0</v>
      </c>
      <c r="F14" s="102"/>
      <c r="G14" s="73"/>
    </row>
    <row r="15" spans="1:14" ht="64.5" x14ac:dyDescent="0.25">
      <c r="A15" s="6" t="s">
        <v>24</v>
      </c>
      <c r="B15" s="125" t="s">
        <v>398</v>
      </c>
      <c r="C15" s="116" t="s">
        <v>399</v>
      </c>
      <c r="D15" s="110">
        <f t="shared" ref="D15:D16" si="0">F15</f>
        <v>0</v>
      </c>
      <c r="E15" s="111">
        <f>ROUND((G15),2)</f>
        <v>0</v>
      </c>
      <c r="F15" s="102"/>
      <c r="G15" s="73"/>
      <c r="H15" s="273" t="str">
        <f>IF(D15&lt;&gt;D28,"Error!", IF(D15&lt;&gt;D52, "Error!", ""))</f>
        <v/>
      </c>
      <c r="N15" s="275"/>
    </row>
    <row r="16" spans="1:14" ht="77.25" x14ac:dyDescent="0.25">
      <c r="A16" s="6" t="s">
        <v>27</v>
      </c>
      <c r="B16" s="125" t="s">
        <v>400</v>
      </c>
      <c r="C16" s="32" t="s">
        <v>219</v>
      </c>
      <c r="D16" s="110">
        <f t="shared" si="0"/>
        <v>0</v>
      </c>
      <c r="E16" s="111">
        <f t="shared" ref="E16" si="1">ROUND((G16),2)</f>
        <v>0</v>
      </c>
      <c r="F16" s="102"/>
      <c r="G16" s="73"/>
    </row>
    <row r="17" spans="1:8" x14ac:dyDescent="0.25">
      <c r="A17" s="156"/>
      <c r="B17" s="157" t="s">
        <v>401</v>
      </c>
      <c r="C17" s="157"/>
      <c r="D17" s="158"/>
      <c r="E17" s="159"/>
      <c r="F17" s="158"/>
      <c r="G17" s="159"/>
    </row>
    <row r="18" spans="1:8" ht="38.25" x14ac:dyDescent="0.25">
      <c r="A18" s="6" t="s">
        <v>30</v>
      </c>
      <c r="B18" s="59" t="s">
        <v>228</v>
      </c>
      <c r="C18" s="94" t="s">
        <v>402</v>
      </c>
      <c r="D18" s="110">
        <f>F18</f>
        <v>0</v>
      </c>
      <c r="E18" s="111">
        <f>G18</f>
        <v>0</v>
      </c>
      <c r="F18" s="8"/>
      <c r="G18" s="73"/>
    </row>
    <row r="19" spans="1:8" ht="38.25" x14ac:dyDescent="0.25">
      <c r="A19" s="6" t="s">
        <v>33</v>
      </c>
      <c r="B19" s="59" t="s">
        <v>231</v>
      </c>
      <c r="C19" s="94" t="s">
        <v>232</v>
      </c>
      <c r="D19" s="110">
        <f t="shared" ref="D19:D27" si="2">F19</f>
        <v>0</v>
      </c>
      <c r="E19" s="111">
        <f t="shared" ref="E19:E27" si="3">G19</f>
        <v>0</v>
      </c>
      <c r="F19" s="8"/>
      <c r="G19" s="73"/>
    </row>
    <row r="20" spans="1:8" ht="38.25" x14ac:dyDescent="0.25">
      <c r="A20" s="6" t="s">
        <v>36</v>
      </c>
      <c r="B20" s="59" t="s">
        <v>234</v>
      </c>
      <c r="C20" s="94" t="s">
        <v>232</v>
      </c>
      <c r="D20" s="110">
        <f t="shared" si="2"/>
        <v>0</v>
      </c>
      <c r="E20" s="111">
        <f t="shared" si="3"/>
        <v>0</v>
      </c>
      <c r="F20" s="8"/>
      <c r="G20" s="73"/>
    </row>
    <row r="21" spans="1:8" ht="38.25" x14ac:dyDescent="0.25">
      <c r="A21" s="6" t="s">
        <v>40</v>
      </c>
      <c r="B21" s="59" t="s">
        <v>236</v>
      </c>
      <c r="C21" s="94" t="s">
        <v>237</v>
      </c>
      <c r="D21" s="110">
        <f t="shared" si="2"/>
        <v>0</v>
      </c>
      <c r="E21" s="111">
        <f t="shared" si="3"/>
        <v>0</v>
      </c>
      <c r="F21" s="8"/>
      <c r="G21" s="73"/>
    </row>
    <row r="22" spans="1:8" ht="38.25" x14ac:dyDescent="0.25">
      <c r="A22" s="6" t="s">
        <v>43</v>
      </c>
      <c r="B22" s="59" t="s">
        <v>239</v>
      </c>
      <c r="C22" s="94" t="s">
        <v>240</v>
      </c>
      <c r="D22" s="110">
        <f t="shared" si="2"/>
        <v>0</v>
      </c>
      <c r="E22" s="111">
        <f t="shared" si="3"/>
        <v>0</v>
      </c>
      <c r="F22" s="8"/>
      <c r="G22" s="73"/>
    </row>
    <row r="23" spans="1:8" ht="38.25" x14ac:dyDescent="0.25">
      <c r="A23" s="6" t="s">
        <v>46</v>
      </c>
      <c r="B23" s="59" t="s">
        <v>242</v>
      </c>
      <c r="C23" s="94" t="s">
        <v>243</v>
      </c>
      <c r="D23" s="110">
        <f t="shared" si="2"/>
        <v>0</v>
      </c>
      <c r="E23" s="111">
        <f t="shared" si="3"/>
        <v>0</v>
      </c>
      <c r="F23" s="8"/>
      <c r="G23" s="73"/>
    </row>
    <row r="24" spans="1:8" ht="38.25" x14ac:dyDescent="0.25">
      <c r="A24" s="6" t="s">
        <v>49</v>
      </c>
      <c r="B24" s="59" t="s">
        <v>245</v>
      </c>
      <c r="C24" s="94" t="s">
        <v>246</v>
      </c>
      <c r="D24" s="110">
        <f t="shared" si="2"/>
        <v>0</v>
      </c>
      <c r="E24" s="111">
        <f t="shared" si="3"/>
        <v>0</v>
      </c>
      <c r="F24" s="8"/>
      <c r="G24" s="73"/>
    </row>
    <row r="25" spans="1:8" ht="38.25" x14ac:dyDescent="0.25">
      <c r="A25" s="6" t="s">
        <v>52</v>
      </c>
      <c r="B25" s="59" t="s">
        <v>248</v>
      </c>
      <c r="C25" s="94" t="s">
        <v>249</v>
      </c>
      <c r="D25" s="110">
        <f t="shared" si="2"/>
        <v>0</v>
      </c>
      <c r="E25" s="111">
        <f t="shared" si="3"/>
        <v>0</v>
      </c>
      <c r="F25" s="8"/>
      <c r="G25" s="73"/>
    </row>
    <row r="26" spans="1:8" ht="38.25" x14ac:dyDescent="0.25">
      <c r="A26" s="6" t="s">
        <v>55</v>
      </c>
      <c r="B26" s="59" t="s">
        <v>251</v>
      </c>
      <c r="C26" s="94" t="s">
        <v>252</v>
      </c>
      <c r="D26" s="110">
        <f t="shared" si="2"/>
        <v>0</v>
      </c>
      <c r="E26" s="111">
        <f t="shared" si="3"/>
        <v>0</v>
      </c>
      <c r="F26" s="8"/>
      <c r="G26" s="73"/>
    </row>
    <row r="27" spans="1:8" ht="38.25" x14ac:dyDescent="0.25">
      <c r="A27" s="6" t="s">
        <v>58</v>
      </c>
      <c r="B27" s="59" t="s">
        <v>254</v>
      </c>
      <c r="C27" s="94" t="s">
        <v>255</v>
      </c>
      <c r="D27" s="110">
        <f t="shared" si="2"/>
        <v>0</v>
      </c>
      <c r="E27" s="111">
        <f t="shared" si="3"/>
        <v>0</v>
      </c>
      <c r="F27" s="8"/>
      <c r="G27" s="73"/>
    </row>
    <row r="28" spans="1:8" x14ac:dyDescent="0.25">
      <c r="A28" s="6" t="s">
        <v>61</v>
      </c>
      <c r="B28" s="127" t="s">
        <v>311</v>
      </c>
      <c r="C28" s="96"/>
      <c r="D28" s="140">
        <f>SUM(D18:D27)</f>
        <v>0</v>
      </c>
      <c r="E28" s="119">
        <f>ROUND(SUM(E18:E27),2)</f>
        <v>0</v>
      </c>
      <c r="F28" s="140">
        <f>SUM(F18:F27)</f>
        <v>0</v>
      </c>
      <c r="G28" s="119">
        <f>SUM(G18:G27)</f>
        <v>0</v>
      </c>
      <c r="H28" s="273" t="str">
        <f>IF(E15&lt;&gt;E28,"Error!", IF(E15&lt;&gt;E52, "Error!", ""))</f>
        <v/>
      </c>
    </row>
    <row r="29" spans="1:8" ht="50.25" customHeight="1" x14ac:dyDescent="0.25">
      <c r="A29" s="6" t="s">
        <v>64</v>
      </c>
      <c r="B29" s="59" t="s">
        <v>403</v>
      </c>
      <c r="C29" s="94" t="s">
        <v>260</v>
      </c>
      <c r="D29" s="140">
        <f>SUM(D19:D26)</f>
        <v>0</v>
      </c>
      <c r="E29" s="141">
        <f>SUM(E19:E26)</f>
        <v>0</v>
      </c>
      <c r="F29" s="140">
        <f t="shared" ref="F29:G29" si="4">SUM(F19:F26)</f>
        <v>0</v>
      </c>
      <c r="G29" s="119">
        <f t="shared" si="4"/>
        <v>0</v>
      </c>
    </row>
    <row r="30" spans="1:8" ht="53.25" customHeight="1" x14ac:dyDescent="0.25">
      <c r="A30" s="6" t="s">
        <v>68</v>
      </c>
      <c r="B30" s="59" t="s">
        <v>404</v>
      </c>
      <c r="C30" s="94" t="s">
        <v>260</v>
      </c>
      <c r="D30" s="108"/>
      <c r="E30" s="142">
        <f>IFERROR(SUM(E19:E26)/E15,0)</f>
        <v>0</v>
      </c>
      <c r="F30" s="108"/>
      <c r="G30" s="146">
        <f>IFERROR(SUM(G19:G26)/G15, 0)</f>
        <v>0</v>
      </c>
    </row>
    <row r="31" spans="1:8" ht="38.25" x14ac:dyDescent="0.25">
      <c r="A31" s="6" t="s">
        <v>71</v>
      </c>
      <c r="B31" s="59" t="s">
        <v>405</v>
      </c>
      <c r="C31" s="94" t="s">
        <v>266</v>
      </c>
      <c r="D31" s="140">
        <f>SUM(D20:D26)</f>
        <v>0</v>
      </c>
      <c r="E31" s="141">
        <f>SUM(E20:E26)</f>
        <v>0</v>
      </c>
      <c r="F31" s="140">
        <f t="shared" ref="F31:G31" si="5">SUM(F20:F26)</f>
        <v>0</v>
      </c>
      <c r="G31" s="119">
        <f t="shared" si="5"/>
        <v>0</v>
      </c>
    </row>
    <row r="32" spans="1:8" ht="38.25" x14ac:dyDescent="0.25">
      <c r="A32" s="6" t="s">
        <v>74</v>
      </c>
      <c r="B32" s="59" t="s">
        <v>406</v>
      </c>
      <c r="C32" s="94" t="s">
        <v>266</v>
      </c>
      <c r="D32" s="108"/>
      <c r="E32" s="142">
        <f>IFERROR(SUM(E20:E26)/E15, 0)</f>
        <v>0</v>
      </c>
      <c r="F32" s="108"/>
      <c r="G32" s="146">
        <f>IFERROR(SUM(G20:G26)/G15, 0)</f>
        <v>0</v>
      </c>
    </row>
    <row r="33" spans="1:7" ht="38.25" x14ac:dyDescent="0.25">
      <c r="A33" s="6" t="s">
        <v>77</v>
      </c>
      <c r="B33" s="59" t="s">
        <v>407</v>
      </c>
      <c r="C33" s="94" t="s">
        <v>272</v>
      </c>
      <c r="D33" s="143">
        <f>SUM(D19:D27)</f>
        <v>0</v>
      </c>
      <c r="E33" s="144">
        <f>SUM(E19:E27)</f>
        <v>0</v>
      </c>
      <c r="F33" s="143">
        <f t="shared" ref="F33:G33" si="6">SUM(F19:F27)</f>
        <v>0</v>
      </c>
      <c r="G33" s="54">
        <f t="shared" si="6"/>
        <v>0</v>
      </c>
    </row>
    <row r="34" spans="1:7" ht="38.25" x14ac:dyDescent="0.25">
      <c r="A34" s="6" t="s">
        <v>80</v>
      </c>
      <c r="B34" s="59" t="s">
        <v>408</v>
      </c>
      <c r="C34" s="94" t="s">
        <v>272</v>
      </c>
      <c r="D34" s="108"/>
      <c r="E34" s="145">
        <f>IFERROR(SUM(E19:E27)/E15, 0)</f>
        <v>0</v>
      </c>
      <c r="F34" s="108"/>
      <c r="G34" s="147">
        <f>IFERROR(SUM(G19:G27)/G15, 0)</f>
        <v>0</v>
      </c>
    </row>
    <row r="35" spans="1:7" ht="38.25" x14ac:dyDescent="0.25">
      <c r="A35" s="6" t="s">
        <v>83</v>
      </c>
      <c r="B35" s="59" t="s">
        <v>409</v>
      </c>
      <c r="C35" s="94" t="s">
        <v>278</v>
      </c>
      <c r="D35" s="143">
        <f>SUM(D20:D27)</f>
        <v>0</v>
      </c>
      <c r="E35" s="144">
        <f>SUM(E20:E27)</f>
        <v>0</v>
      </c>
      <c r="F35" s="143">
        <f t="shared" ref="F35:G35" si="7">SUM(F20:F27)</f>
        <v>0</v>
      </c>
      <c r="G35" s="54">
        <f t="shared" si="7"/>
        <v>0</v>
      </c>
    </row>
    <row r="36" spans="1:7" ht="38.25" x14ac:dyDescent="0.25">
      <c r="A36" s="6" t="s">
        <v>86</v>
      </c>
      <c r="B36" s="59" t="s">
        <v>410</v>
      </c>
      <c r="C36" s="94" t="s">
        <v>278</v>
      </c>
      <c r="D36" s="108"/>
      <c r="E36" s="145" t="str">
        <f>IFERROR(SUM(E20:E27)/E15, "")</f>
        <v/>
      </c>
      <c r="F36" s="108"/>
      <c r="G36" s="147">
        <f>IFERROR(SUM(G20:G27)/G15, 0)</f>
        <v>0</v>
      </c>
    </row>
    <row r="37" spans="1:7" x14ac:dyDescent="0.25">
      <c r="C37" s="128"/>
      <c r="F37" s="105"/>
      <c r="G37" s="105"/>
    </row>
    <row r="38" spans="1:7" ht="31.5" x14ac:dyDescent="0.25">
      <c r="A38" s="218" t="s">
        <v>114</v>
      </c>
      <c r="B38" s="197" t="s">
        <v>283</v>
      </c>
      <c r="C38" s="219"/>
      <c r="D38" s="219" t="s">
        <v>209</v>
      </c>
      <c r="E38" s="220" t="s">
        <v>210</v>
      </c>
      <c r="F38" s="219" t="s">
        <v>209</v>
      </c>
      <c r="G38" s="220" t="s">
        <v>210</v>
      </c>
    </row>
    <row r="39" spans="1:7" ht="25.5" x14ac:dyDescent="0.25">
      <c r="A39" s="6" t="s">
        <v>117</v>
      </c>
      <c r="B39" s="105" t="s">
        <v>285</v>
      </c>
      <c r="C39" s="94" t="s">
        <v>665</v>
      </c>
      <c r="D39" s="110">
        <f>F39</f>
        <v>0</v>
      </c>
      <c r="E39" s="111">
        <f>G39</f>
        <v>0</v>
      </c>
      <c r="F39" s="102"/>
      <c r="G39" s="73"/>
    </row>
    <row r="40" spans="1:7" ht="15" x14ac:dyDescent="0.25">
      <c r="A40" s="6" t="s">
        <v>120</v>
      </c>
      <c r="B40" s="105" t="s">
        <v>287</v>
      </c>
      <c r="C40" s="94" t="s">
        <v>653</v>
      </c>
      <c r="D40" s="110">
        <f t="shared" ref="D40:D51" si="8">F40</f>
        <v>0</v>
      </c>
      <c r="E40" s="111">
        <f t="shared" ref="E40:E51" si="9">G40</f>
        <v>0</v>
      </c>
      <c r="F40" s="102"/>
      <c r="G40" s="73"/>
    </row>
    <row r="41" spans="1:7" ht="15" x14ac:dyDescent="0.25">
      <c r="A41" s="6" t="s">
        <v>123</v>
      </c>
      <c r="B41" s="105" t="s">
        <v>289</v>
      </c>
      <c r="C41" s="94" t="s">
        <v>654</v>
      </c>
      <c r="D41" s="110">
        <f t="shared" si="8"/>
        <v>0</v>
      </c>
      <c r="E41" s="111">
        <f t="shared" si="9"/>
        <v>0</v>
      </c>
      <c r="F41" s="102"/>
      <c r="G41" s="73"/>
    </row>
    <row r="42" spans="1:7" ht="15" x14ac:dyDescent="0.25">
      <c r="A42" s="6" t="s">
        <v>126</v>
      </c>
      <c r="B42" s="105" t="s">
        <v>291</v>
      </c>
      <c r="C42" s="94" t="s">
        <v>655</v>
      </c>
      <c r="D42" s="110">
        <f t="shared" si="8"/>
        <v>0</v>
      </c>
      <c r="E42" s="111">
        <f t="shared" si="9"/>
        <v>0</v>
      </c>
      <c r="F42" s="102"/>
      <c r="G42" s="73"/>
    </row>
    <row r="43" spans="1:7" ht="25.5" x14ac:dyDescent="0.25">
      <c r="A43" s="6" t="s">
        <v>129</v>
      </c>
      <c r="B43" s="105" t="s">
        <v>293</v>
      </c>
      <c r="C43" s="94" t="s">
        <v>656</v>
      </c>
      <c r="D43" s="110">
        <f t="shared" si="8"/>
        <v>0</v>
      </c>
      <c r="E43" s="111">
        <f t="shared" si="9"/>
        <v>0</v>
      </c>
      <c r="F43" s="102"/>
      <c r="G43" s="73"/>
    </row>
    <row r="44" spans="1:7" ht="15" x14ac:dyDescent="0.25">
      <c r="A44" s="6" t="s">
        <v>132</v>
      </c>
      <c r="B44" s="105" t="s">
        <v>411</v>
      </c>
      <c r="C44" s="94" t="s">
        <v>657</v>
      </c>
      <c r="D44" s="110">
        <f t="shared" si="8"/>
        <v>0</v>
      </c>
      <c r="E44" s="111">
        <f t="shared" si="9"/>
        <v>0</v>
      </c>
      <c r="F44" s="102"/>
      <c r="G44" s="73"/>
    </row>
    <row r="45" spans="1:7" ht="15" x14ac:dyDescent="0.25">
      <c r="A45" s="6" t="s">
        <v>135</v>
      </c>
      <c r="B45" s="105" t="s">
        <v>297</v>
      </c>
      <c r="C45" s="94" t="s">
        <v>658</v>
      </c>
      <c r="D45" s="110">
        <f t="shared" si="8"/>
        <v>0</v>
      </c>
      <c r="E45" s="111">
        <f t="shared" si="9"/>
        <v>0</v>
      </c>
      <c r="F45" s="102"/>
      <c r="G45" s="73"/>
    </row>
    <row r="46" spans="1:7" ht="15" x14ac:dyDescent="0.25">
      <c r="A46" s="6" t="s">
        <v>138</v>
      </c>
      <c r="B46" s="105" t="s">
        <v>299</v>
      </c>
      <c r="C46" s="94" t="s">
        <v>659</v>
      </c>
      <c r="D46" s="110">
        <f t="shared" si="8"/>
        <v>0</v>
      </c>
      <c r="E46" s="111">
        <f t="shared" si="9"/>
        <v>0</v>
      </c>
      <c r="F46" s="102"/>
      <c r="G46" s="73"/>
    </row>
    <row r="47" spans="1:7" ht="25.5" x14ac:dyDescent="0.25">
      <c r="A47" s="6" t="s">
        <v>141</v>
      </c>
      <c r="B47" s="105" t="s">
        <v>301</v>
      </c>
      <c r="C47" s="94" t="s">
        <v>660</v>
      </c>
      <c r="D47" s="110">
        <f t="shared" si="8"/>
        <v>0</v>
      </c>
      <c r="E47" s="111">
        <f t="shared" si="9"/>
        <v>0</v>
      </c>
      <c r="F47" s="102"/>
      <c r="G47" s="73"/>
    </row>
    <row r="48" spans="1:7" ht="25.5" x14ac:dyDescent="0.25">
      <c r="A48" s="6" t="s">
        <v>144</v>
      </c>
      <c r="B48" s="105" t="s">
        <v>303</v>
      </c>
      <c r="C48" s="94" t="s">
        <v>661</v>
      </c>
      <c r="D48" s="110">
        <f t="shared" si="8"/>
        <v>0</v>
      </c>
      <c r="E48" s="111">
        <f t="shared" si="9"/>
        <v>0</v>
      </c>
      <c r="F48" s="102"/>
      <c r="G48" s="73"/>
    </row>
    <row r="49" spans="1:8" ht="25.5" x14ac:dyDescent="0.25">
      <c r="A49" s="6" t="s">
        <v>147</v>
      </c>
      <c r="B49" s="105" t="s">
        <v>305</v>
      </c>
      <c r="C49" s="94" t="s">
        <v>662</v>
      </c>
      <c r="D49" s="110">
        <f t="shared" si="8"/>
        <v>0</v>
      </c>
      <c r="E49" s="111">
        <f t="shared" si="9"/>
        <v>0</v>
      </c>
      <c r="F49" s="102"/>
      <c r="G49" s="73"/>
    </row>
    <row r="50" spans="1:8" ht="15" x14ac:dyDescent="0.25">
      <c r="A50" s="6" t="s">
        <v>150</v>
      </c>
      <c r="B50" s="105" t="s">
        <v>307</v>
      </c>
      <c r="C50" s="94" t="s">
        <v>663</v>
      </c>
      <c r="D50" s="110">
        <f t="shared" si="8"/>
        <v>0</v>
      </c>
      <c r="E50" s="111">
        <f t="shared" si="9"/>
        <v>0</v>
      </c>
      <c r="F50" s="102"/>
      <c r="G50" s="73"/>
    </row>
    <row r="51" spans="1:8" ht="15" x14ac:dyDescent="0.25">
      <c r="A51" s="6" t="s">
        <v>153</v>
      </c>
      <c r="B51" s="105" t="s">
        <v>309</v>
      </c>
      <c r="C51" s="94" t="s">
        <v>664</v>
      </c>
      <c r="D51" s="110">
        <f t="shared" si="8"/>
        <v>0</v>
      </c>
      <c r="E51" s="111">
        <f t="shared" si="9"/>
        <v>0</v>
      </c>
      <c r="F51" s="130"/>
      <c r="G51" s="73"/>
    </row>
    <row r="52" spans="1:8" x14ac:dyDescent="0.25">
      <c r="A52" s="6" t="s">
        <v>156</v>
      </c>
      <c r="B52" s="127" t="s">
        <v>311</v>
      </c>
      <c r="C52" s="129"/>
      <c r="D52" s="148">
        <f>SUM(D39:D51)</f>
        <v>0</v>
      </c>
      <c r="E52" s="149">
        <f>ROUND(SUM(E39:E51),2)</f>
        <v>0</v>
      </c>
      <c r="F52" s="150">
        <f>SUM(F39:F51)</f>
        <v>0</v>
      </c>
      <c r="G52" s="151">
        <f t="shared" ref="G52" si="10">SUM(G39:G51)</f>
        <v>0</v>
      </c>
      <c r="H52" s="273"/>
    </row>
    <row r="53" spans="1:8" x14ac:dyDescent="0.25">
      <c r="A53" s="14"/>
      <c r="B53" s="131"/>
      <c r="C53" s="132"/>
      <c r="D53" s="133"/>
    </row>
    <row r="54" spans="1:8" x14ac:dyDescent="0.25">
      <c r="A54" s="218" t="s">
        <v>207</v>
      </c>
      <c r="B54" s="210" t="s">
        <v>412</v>
      </c>
      <c r="C54" s="210"/>
      <c r="D54" s="219" t="s">
        <v>392</v>
      </c>
      <c r="E54" s="263" t="str">
        <f>RIGHT(C10,2)</f>
        <v/>
      </c>
      <c r="F54" s="264"/>
      <c r="G54" s="264"/>
    </row>
    <row r="55" spans="1:8" ht="76.5" x14ac:dyDescent="0.25">
      <c r="A55" s="7" t="s">
        <v>211</v>
      </c>
      <c r="B55" s="34" t="s">
        <v>413</v>
      </c>
      <c r="C55" s="116" t="s">
        <v>324</v>
      </c>
      <c r="D55" s="110">
        <f>E55</f>
        <v>0</v>
      </c>
      <c r="E55" s="102"/>
      <c r="F55" s="265"/>
      <c r="G55" s="265"/>
    </row>
    <row r="56" spans="1:8" ht="89.25" x14ac:dyDescent="0.25">
      <c r="A56" s="7" t="s">
        <v>214</v>
      </c>
      <c r="B56" s="34" t="s">
        <v>414</v>
      </c>
      <c r="C56" s="116" t="s">
        <v>327</v>
      </c>
      <c r="D56" s="110">
        <f t="shared" ref="D56:D58" si="11">E56</f>
        <v>0</v>
      </c>
      <c r="E56" s="102"/>
      <c r="F56" s="265"/>
      <c r="G56" s="265"/>
    </row>
    <row r="57" spans="1:8" ht="65.25" x14ac:dyDescent="0.25">
      <c r="A57" s="7" t="s">
        <v>217</v>
      </c>
      <c r="B57" s="134" t="s">
        <v>415</v>
      </c>
      <c r="C57" s="32" t="s">
        <v>330</v>
      </c>
      <c r="D57" s="110">
        <f t="shared" si="11"/>
        <v>0</v>
      </c>
      <c r="E57" s="102"/>
      <c r="F57" s="274" t="str">
        <f>IF(D15=D57," ","Error!")</f>
        <v xml:space="preserve"> </v>
      </c>
      <c r="G57" s="265"/>
    </row>
    <row r="58" spans="1:8" ht="66" x14ac:dyDescent="0.25">
      <c r="A58" s="7" t="s">
        <v>220</v>
      </c>
      <c r="B58" s="134" t="s">
        <v>332</v>
      </c>
      <c r="C58" s="32" t="s">
        <v>333</v>
      </c>
      <c r="D58" s="110">
        <f t="shared" si="11"/>
        <v>0</v>
      </c>
      <c r="E58" s="102"/>
      <c r="F58" s="265"/>
      <c r="G58" s="265"/>
    </row>
    <row r="59" spans="1:8" ht="25.5" x14ac:dyDescent="0.25">
      <c r="A59" s="7" t="s">
        <v>227</v>
      </c>
      <c r="B59" s="134" t="s">
        <v>416</v>
      </c>
      <c r="C59" s="32" t="s">
        <v>417</v>
      </c>
      <c r="D59" s="111">
        <f>IFERROR(ROUND((E14/D14),2), 0)</f>
        <v>0</v>
      </c>
      <c r="E59" s="111">
        <f>IFERROR(G14/F14,0)</f>
        <v>0</v>
      </c>
      <c r="F59" s="266"/>
      <c r="G59" s="266"/>
    </row>
    <row r="60" spans="1:8" ht="25.5" x14ac:dyDescent="0.25">
      <c r="A60" s="7" t="s">
        <v>230</v>
      </c>
      <c r="B60" s="134" t="s">
        <v>418</v>
      </c>
      <c r="C60" s="32" t="s">
        <v>419</v>
      </c>
      <c r="D60" s="111">
        <f>IFERROR(ROUND((E15/D15),2),0)</f>
        <v>0</v>
      </c>
      <c r="E60" s="111">
        <f>IFERROR(G15/F15,0)</f>
        <v>0</v>
      </c>
      <c r="F60" s="266"/>
      <c r="G60" s="266"/>
    </row>
    <row r="61" spans="1:8" ht="26.25" customHeight="1" x14ac:dyDescent="0.25">
      <c r="A61" s="7" t="s">
        <v>233</v>
      </c>
      <c r="B61" s="34" t="s">
        <v>341</v>
      </c>
      <c r="C61" s="32" t="s">
        <v>342</v>
      </c>
      <c r="D61" s="111">
        <f>E61</f>
        <v>0</v>
      </c>
      <c r="E61" s="73"/>
      <c r="F61" s="267"/>
      <c r="G61" s="267"/>
    </row>
    <row r="62" spans="1:8" ht="45" x14ac:dyDescent="0.25">
      <c r="A62" s="7" t="s">
        <v>235</v>
      </c>
      <c r="B62" s="117" t="s">
        <v>344</v>
      </c>
      <c r="C62" s="118" t="s">
        <v>345</v>
      </c>
      <c r="D62" s="111">
        <f t="shared" ref="D62:D68" si="12">E62</f>
        <v>0</v>
      </c>
      <c r="E62" s="102"/>
      <c r="F62" s="265"/>
      <c r="G62" s="265"/>
    </row>
    <row r="63" spans="1:8" ht="45" x14ac:dyDescent="0.25">
      <c r="A63" s="7" t="s">
        <v>238</v>
      </c>
      <c r="B63" s="117" t="s">
        <v>347</v>
      </c>
      <c r="C63" s="118" t="s">
        <v>348</v>
      </c>
      <c r="D63" s="111">
        <f t="shared" si="12"/>
        <v>0</v>
      </c>
      <c r="E63" s="102"/>
      <c r="F63" s="265"/>
      <c r="G63" s="265"/>
    </row>
    <row r="64" spans="1:8" ht="25.5" x14ac:dyDescent="0.25">
      <c r="A64" s="7" t="s">
        <v>241</v>
      </c>
      <c r="B64" s="34" t="s">
        <v>377</v>
      </c>
      <c r="C64" s="32" t="s">
        <v>420</v>
      </c>
      <c r="D64" s="111">
        <f t="shared" si="12"/>
        <v>0</v>
      </c>
      <c r="E64" s="102"/>
      <c r="F64" s="265"/>
      <c r="G64" s="265"/>
    </row>
    <row r="65" spans="1:7" ht="25.5" x14ac:dyDescent="0.25">
      <c r="A65" s="7" t="s">
        <v>244</v>
      </c>
      <c r="B65" s="34" t="s">
        <v>379</v>
      </c>
      <c r="C65" s="32" t="s">
        <v>421</v>
      </c>
      <c r="D65" s="111">
        <f t="shared" si="12"/>
        <v>0</v>
      </c>
      <c r="E65" s="73"/>
      <c r="F65" s="267"/>
      <c r="G65" s="267"/>
    </row>
    <row r="66" spans="1:7" ht="25.5" x14ac:dyDescent="0.25">
      <c r="A66" s="7" t="s">
        <v>247</v>
      </c>
      <c r="B66" s="135" t="s">
        <v>422</v>
      </c>
      <c r="C66" s="32" t="s">
        <v>351</v>
      </c>
      <c r="D66" s="111">
        <f t="shared" si="12"/>
        <v>0</v>
      </c>
      <c r="E66" s="73"/>
      <c r="F66" s="267"/>
      <c r="G66" s="267"/>
    </row>
    <row r="67" spans="1:7" ht="25.5" x14ac:dyDescent="0.25">
      <c r="A67" s="7" t="s">
        <v>250</v>
      </c>
      <c r="B67" s="34" t="s">
        <v>381</v>
      </c>
      <c r="C67" s="32" t="s">
        <v>423</v>
      </c>
      <c r="D67" s="111">
        <f t="shared" si="12"/>
        <v>0</v>
      </c>
      <c r="E67" s="102"/>
      <c r="F67" s="265"/>
      <c r="G67" s="265"/>
    </row>
    <row r="68" spans="1:7" ht="25.5" x14ac:dyDescent="0.25">
      <c r="A68" s="7" t="s">
        <v>253</v>
      </c>
      <c r="B68" s="34" t="s">
        <v>383</v>
      </c>
      <c r="C68" s="32" t="s">
        <v>424</v>
      </c>
      <c r="D68" s="111">
        <f t="shared" si="12"/>
        <v>0</v>
      </c>
      <c r="E68" s="73"/>
      <c r="F68" s="267"/>
      <c r="G68" s="267"/>
    </row>
    <row r="69" spans="1:7" x14ac:dyDescent="0.25">
      <c r="A69" s="7"/>
      <c r="B69" s="131"/>
      <c r="C69" s="132"/>
      <c r="D69" s="133"/>
    </row>
    <row r="70" spans="1:7" x14ac:dyDescent="0.25">
      <c r="A70" s="7"/>
      <c r="B70" s="131"/>
      <c r="C70" s="132"/>
      <c r="D70" s="133"/>
    </row>
    <row r="71" spans="1:7" x14ac:dyDescent="0.25">
      <c r="A71" s="6"/>
      <c r="B71" s="131"/>
      <c r="C71" s="132"/>
      <c r="D71" s="133"/>
    </row>
    <row r="72" spans="1:7" x14ac:dyDescent="0.25">
      <c r="A72" s="6"/>
      <c r="B72" s="131"/>
      <c r="C72" s="132"/>
      <c r="D72" s="133"/>
    </row>
    <row r="73" spans="1:7" x14ac:dyDescent="0.25">
      <c r="A73" s="6"/>
      <c r="B73" s="131"/>
      <c r="C73" s="132"/>
      <c r="D73" s="133"/>
    </row>
    <row r="74" spans="1:7" x14ac:dyDescent="0.25">
      <c r="A74" s="6"/>
      <c r="B74" s="10"/>
      <c r="C74" s="132"/>
      <c r="D74" s="133"/>
    </row>
    <row r="75" spans="1:7" x14ac:dyDescent="0.25">
      <c r="A75" s="6"/>
      <c r="B75" s="131"/>
      <c r="C75" s="132"/>
      <c r="D75" s="133"/>
    </row>
    <row r="76" spans="1:7" x14ac:dyDescent="0.25">
      <c r="B76" s="131"/>
      <c r="C76" s="132"/>
      <c r="D76" s="133"/>
    </row>
    <row r="77" spans="1:7" x14ac:dyDescent="0.25">
      <c r="A77" s="6"/>
      <c r="B77" s="131"/>
      <c r="C77" s="132"/>
      <c r="D77" s="133"/>
    </row>
    <row r="78" spans="1:7" x14ac:dyDescent="0.25">
      <c r="A78" s="6"/>
      <c r="B78" s="131"/>
      <c r="C78" s="132"/>
      <c r="D78" s="133"/>
    </row>
    <row r="79" spans="1:7" x14ac:dyDescent="0.25">
      <c r="A79" s="6"/>
      <c r="B79" s="131"/>
      <c r="C79" s="132"/>
      <c r="D79" s="133"/>
    </row>
    <row r="80" spans="1:7" x14ac:dyDescent="0.25">
      <c r="A80" s="6"/>
      <c r="B80" s="131"/>
      <c r="C80" s="132"/>
      <c r="D80" s="133"/>
    </row>
    <row r="81" spans="1:4" x14ac:dyDescent="0.25">
      <c r="A81" s="6"/>
      <c r="B81" s="131"/>
      <c r="C81" s="132"/>
      <c r="D81" s="133"/>
    </row>
    <row r="82" spans="1:4" x14ac:dyDescent="0.25">
      <c r="A82" s="6"/>
      <c r="B82" s="131"/>
      <c r="C82" s="132"/>
      <c r="D82" s="133"/>
    </row>
    <row r="83" spans="1:4" x14ac:dyDescent="0.25">
      <c r="B83" s="131"/>
      <c r="C83" s="132"/>
      <c r="D83" s="133"/>
    </row>
    <row r="84" spans="1:4" x14ac:dyDescent="0.25">
      <c r="A84" s="6"/>
      <c r="B84" s="131"/>
      <c r="C84" s="132"/>
      <c r="D84" s="133"/>
    </row>
    <row r="85" spans="1:4" x14ac:dyDescent="0.25">
      <c r="A85" s="6"/>
      <c r="B85" s="131"/>
      <c r="C85" s="132"/>
      <c r="D85" s="133"/>
    </row>
    <row r="86" spans="1:4" x14ac:dyDescent="0.25">
      <c r="A86" s="6"/>
      <c r="B86" s="131"/>
      <c r="C86" s="132"/>
      <c r="D86" s="133"/>
    </row>
    <row r="87" spans="1:4" x14ac:dyDescent="0.25">
      <c r="A87" s="6"/>
      <c r="B87" s="131"/>
      <c r="C87" s="132"/>
      <c r="D87" s="133"/>
    </row>
    <row r="88" spans="1:4" x14ac:dyDescent="0.25">
      <c r="A88" s="6"/>
      <c r="B88" s="136"/>
      <c r="C88" s="137"/>
      <c r="D88" s="133"/>
    </row>
    <row r="89" spans="1:4" x14ac:dyDescent="0.25">
      <c r="B89" s="131"/>
      <c r="C89" s="132"/>
      <c r="D89" s="133"/>
    </row>
  </sheetData>
  <sheetProtection algorithmName="SHA-512" hashValue="tBfEVitq6TPw/de7kYsGK0DkTQdM2UocYUdcUzfrF/zMckJlgE4nuARTXKIrSdfkCH9JwL+KKTc8gY+wMolhgA==" saltValue="gtQroNKLTdYrl9BJLIHmEQ==" spinCount="100000" sheet="1" selectLockedCells="1"/>
  <mergeCells count="5">
    <mergeCell ref="A1:D1"/>
    <mergeCell ref="A2:D2"/>
    <mergeCell ref="D12:E12"/>
    <mergeCell ref="F12:G12"/>
    <mergeCell ref="F11:G11"/>
  </mergeCells>
  <dataValidations count="5">
    <dataValidation allowBlank="1" showInputMessage="1" showErrorMessage="1" prompt="This should be same as Gross Loans Outstanding in Balance Sheet" sqref="G28 E28 E52" xr:uid="{00000000-0002-0000-0700-000000000000}"/>
    <dataValidation type="whole" operator="greaterThanOrEqual" allowBlank="1" showInputMessage="1" showErrorMessage="1" error="Please enter a valid number to proceed" prompt="Please make sure that your input is a number." sqref="F39:F51 F14:F16 F18:F27 G62:G64 F58 G67 E55:E58 G55:G58 F55:F56 F61:F68 E67 E62:E64" xr:uid="{00000000-0002-0000-0700-000001000000}">
      <formula1>0</formula1>
    </dataValidation>
    <dataValidation type="custom" allowBlank="1" showInputMessage="1" showErrorMessage="1" error="Please enter a valid amount to proceed" prompt="Please make sure that your input is an amount value." sqref="G18:G27 G39:G51 G14:G16 G61 G65:G66 G68" xr:uid="{00000000-0002-0000-0700-000002000000}">
      <formula1>ISNUMBER(G14)</formula1>
    </dataValidation>
    <dataValidation operator="greaterThanOrEqual" allowBlank="1" showInputMessage="1" showErrorMessage="1" sqref="F57" xr:uid="{00000000-0002-0000-0700-000003000000}"/>
    <dataValidation type="custom" operator="greaterThanOrEqual" allowBlank="1" showInputMessage="1" showErrorMessage="1" error="Please enter a valid number to proceed" prompt="Please make sure that your input is a number." sqref="E61 E68 E65:E66" xr:uid="{00000000-0002-0000-0700-000004000000}">
      <formula1>ISNUMBER(E61)</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H68"/>
  <sheetViews>
    <sheetView topLeftCell="B5" workbookViewId="0">
      <selection activeCell="B5" sqref="B5"/>
    </sheetView>
  </sheetViews>
  <sheetFormatPr defaultRowHeight="15" x14ac:dyDescent="0.25"/>
  <cols>
    <col min="1" max="1" width="7.140625" style="18" customWidth="1"/>
    <col min="2" max="2" width="48.7109375" style="18" customWidth="1"/>
    <col min="3" max="3" width="53.28515625" style="18" customWidth="1"/>
    <col min="4" max="4" width="51.7109375" style="160" customWidth="1"/>
    <col min="5" max="5" width="28.140625" style="161" customWidth="1"/>
    <col min="6" max="16384" width="9.140625" style="18"/>
  </cols>
  <sheetData>
    <row r="1" spans="1:8" ht="16.5" thickBot="1" x14ac:dyDescent="0.3">
      <c r="H1" s="23"/>
    </row>
    <row r="2" spans="1:8" x14ac:dyDescent="0.25">
      <c r="A2" s="176" t="s">
        <v>425</v>
      </c>
      <c r="B2" s="177" t="s">
        <v>426</v>
      </c>
      <c r="C2" s="178" t="s">
        <v>427</v>
      </c>
      <c r="D2" s="179" t="s">
        <v>428</v>
      </c>
      <c r="E2" s="180" t="s">
        <v>429</v>
      </c>
    </row>
    <row r="3" spans="1:8" x14ac:dyDescent="0.25">
      <c r="A3" s="181"/>
      <c r="B3" s="246" t="s">
        <v>430</v>
      </c>
      <c r="C3" s="182"/>
      <c r="D3" s="183"/>
      <c r="E3" s="184"/>
    </row>
    <row r="4" spans="1:8" ht="45" x14ac:dyDescent="0.25">
      <c r="A4" s="163" t="s">
        <v>431</v>
      </c>
      <c r="B4" s="162" t="s">
        <v>432</v>
      </c>
      <c r="C4" s="164" t="s">
        <v>433</v>
      </c>
      <c r="D4" s="162" t="s">
        <v>434</v>
      </c>
      <c r="E4" s="268">
        <f>IFERROR('Profit &amp; Loss Statement'!D39/'Balance Sheet'!D46, 0)</f>
        <v>0</v>
      </c>
    </row>
    <row r="5" spans="1:8" ht="45" x14ac:dyDescent="0.25">
      <c r="A5" s="163" t="s">
        <v>435</v>
      </c>
      <c r="B5" s="162" t="s">
        <v>436</v>
      </c>
      <c r="C5" s="164" t="s">
        <v>437</v>
      </c>
      <c r="D5" s="162" t="s">
        <v>438</v>
      </c>
      <c r="E5" s="172">
        <f>IFERROR('Profit &amp; Loss Statement'!D39/'Balance Sheet'!D48, 0)</f>
        <v>0</v>
      </c>
    </row>
    <row r="6" spans="1:8" ht="45" x14ac:dyDescent="0.25">
      <c r="A6" s="163" t="s">
        <v>439</v>
      </c>
      <c r="B6" s="162" t="s">
        <v>440</v>
      </c>
      <c r="C6" s="162" t="s">
        <v>441</v>
      </c>
      <c r="D6" s="162" t="s">
        <v>442</v>
      </c>
      <c r="E6" s="268">
        <f>IFERROR('Profit &amp; Loss Statement'!D18/('Profit &amp; Loss Statement'!D25+'Profit &amp; Loss Statement'!D27+'Profit &amp; Loss Statement'!D33),0)</f>
        <v>0</v>
      </c>
    </row>
    <row r="7" spans="1:8" ht="45" x14ac:dyDescent="0.25">
      <c r="A7" s="163" t="s">
        <v>443</v>
      </c>
      <c r="B7" s="162" t="s">
        <v>444</v>
      </c>
      <c r="C7" s="165" t="s">
        <v>445</v>
      </c>
      <c r="D7" s="162" t="s">
        <v>446</v>
      </c>
      <c r="E7" s="268">
        <f>IFERROR('Profit &amp; Loss Statement'!D46/('Profit &amp; Loss Statement'!D45+'Profit &amp; Loss Statement'!D44+'Profit &amp; Loss Statement'!D43),0)</f>
        <v>0</v>
      </c>
    </row>
    <row r="8" spans="1:8" ht="30" x14ac:dyDescent="0.25">
      <c r="A8" s="163" t="s">
        <v>447</v>
      </c>
      <c r="B8" s="162" t="s">
        <v>448</v>
      </c>
      <c r="C8" s="165" t="s">
        <v>449</v>
      </c>
      <c r="D8" s="162" t="s">
        <v>450</v>
      </c>
      <c r="E8" s="268">
        <f>IFERROR('Profit &amp; Loss Statement'!D39/('Profit &amp; Loss Statement'!D18+'Profit &amp; Loss Statement'!D35),0)</f>
        <v>0</v>
      </c>
    </row>
    <row r="9" spans="1:8" ht="30" x14ac:dyDescent="0.25">
      <c r="A9" s="163" t="s">
        <v>451</v>
      </c>
      <c r="B9" s="162" t="s">
        <v>452</v>
      </c>
      <c r="C9" s="165" t="s">
        <v>453</v>
      </c>
      <c r="D9" s="162" t="s">
        <v>454</v>
      </c>
      <c r="E9" s="268">
        <f>IFERROR('Profit &amp; Loss Statement'!D26/'Balance Sheet'!D53,0)</f>
        <v>0</v>
      </c>
    </row>
    <row r="10" spans="1:8" ht="30" x14ac:dyDescent="0.25">
      <c r="A10" s="163" t="s">
        <v>455</v>
      </c>
      <c r="B10" s="162" t="s">
        <v>456</v>
      </c>
      <c r="C10" s="165" t="s">
        <v>457</v>
      </c>
      <c r="D10" s="162" t="s">
        <v>458</v>
      </c>
      <c r="E10" s="268">
        <f>IFERROR(('Profit &amp; Loss Statement'!D25-'Profit &amp; Loss Statement'!D24)/'Balance Sheet'!D16,0)</f>
        <v>0</v>
      </c>
    </row>
    <row r="11" spans="1:8" ht="28.5" x14ac:dyDescent="0.25">
      <c r="A11" s="185"/>
      <c r="B11" s="186" t="s">
        <v>459</v>
      </c>
      <c r="C11" s="187"/>
      <c r="D11" s="188"/>
      <c r="E11" s="189"/>
    </row>
    <row r="12" spans="1:8" x14ac:dyDescent="0.25">
      <c r="A12" s="163" t="s">
        <v>460</v>
      </c>
      <c r="B12" s="162" t="s">
        <v>461</v>
      </c>
      <c r="C12" s="164"/>
      <c r="D12" s="162" t="s">
        <v>462</v>
      </c>
      <c r="E12" s="172">
        <f>'Balance Sheet'!D24</f>
        <v>0</v>
      </c>
    </row>
    <row r="13" spans="1:8" ht="30" x14ac:dyDescent="0.25">
      <c r="A13" s="166" t="s">
        <v>463</v>
      </c>
      <c r="B13" s="162" t="s">
        <v>464</v>
      </c>
      <c r="C13" s="164" t="s">
        <v>465</v>
      </c>
      <c r="D13" s="162" t="s">
        <v>466</v>
      </c>
      <c r="E13" s="268">
        <f>IFERROR('Balance Sheet'!D42/'Balance Sheet'!D24,0)</f>
        <v>0</v>
      </c>
    </row>
    <row r="14" spans="1:8" ht="30" x14ac:dyDescent="0.25">
      <c r="A14" s="163" t="s">
        <v>467</v>
      </c>
      <c r="B14" s="162" t="s">
        <v>468</v>
      </c>
      <c r="C14" s="164" t="s">
        <v>469</v>
      </c>
      <c r="D14" s="162" t="s">
        <v>470</v>
      </c>
      <c r="E14" s="268">
        <f>IFERROR('Balance Sheet'!D16/'Balance Sheet'!D24,0)</f>
        <v>0</v>
      </c>
    </row>
    <row r="15" spans="1:8" ht="30" x14ac:dyDescent="0.25">
      <c r="A15" s="163" t="s">
        <v>471</v>
      </c>
      <c r="B15" s="162" t="s">
        <v>472</v>
      </c>
      <c r="C15" s="164" t="s">
        <v>473</v>
      </c>
      <c r="D15" s="162" t="s">
        <v>474</v>
      </c>
      <c r="E15" s="268">
        <f>IFERROR('Balance Sheet'!D33/'Balance Sheet'!D42,0)</f>
        <v>0</v>
      </c>
    </row>
    <row r="16" spans="1:8" ht="45" x14ac:dyDescent="0.25">
      <c r="A16" s="163" t="s">
        <v>475</v>
      </c>
      <c r="B16" s="162" t="s">
        <v>476</v>
      </c>
      <c r="C16" s="164" t="s">
        <v>477</v>
      </c>
      <c r="D16" s="162" t="s">
        <v>478</v>
      </c>
      <c r="E16" s="268">
        <f>IFERROR(('Profit &amp; Loss Statement'!D13+'Profit &amp; Loss Statement'!D14)/'Balance Sheet'!D16,0)</f>
        <v>0</v>
      </c>
    </row>
    <row r="17" spans="1:5" ht="45" x14ac:dyDescent="0.25">
      <c r="A17" s="163" t="s">
        <v>479</v>
      </c>
      <c r="B17" s="162" t="s">
        <v>480</v>
      </c>
      <c r="C17" s="164" t="s">
        <v>481</v>
      </c>
      <c r="D17" s="162" t="s">
        <v>482</v>
      </c>
      <c r="E17" s="268">
        <f>IFERROR(('Profit &amp; Loss Statement'!D15+'Profit &amp; Loss Statement'!D16)/'Balance Sheet'!D49,0)</f>
        <v>0</v>
      </c>
    </row>
    <row r="18" spans="1:5" ht="30" x14ac:dyDescent="0.25">
      <c r="A18" s="163" t="s">
        <v>483</v>
      </c>
      <c r="B18" s="167" t="s">
        <v>484</v>
      </c>
      <c r="C18" s="164" t="s">
        <v>485</v>
      </c>
      <c r="D18" s="162" t="s">
        <v>486</v>
      </c>
      <c r="E18" s="268">
        <f>IFERROR(('Profit &amp; Loss Statement'!D25-'Profit &amp; Loss Statement'!D24)/('Balance Sheet'!D50+'Balance Sheet'!D51),0)</f>
        <v>0</v>
      </c>
    </row>
    <row r="19" spans="1:5" ht="45" x14ac:dyDescent="0.25">
      <c r="A19" s="163" t="s">
        <v>487</v>
      </c>
      <c r="B19" s="162" t="s">
        <v>488</v>
      </c>
      <c r="C19" s="164" t="s">
        <v>489</v>
      </c>
      <c r="D19" s="162" t="s">
        <v>490</v>
      </c>
      <c r="E19" s="268">
        <f>IFERROR(('Balance Sheet'!D13+'Balance Sheet'!D14+'Balance Sheet'!D15)/('Balance Sheet'!D26+'Balance Sheet'!D27+'Balance Sheet'!D30+'Balance Sheet'!D31),0)</f>
        <v>0</v>
      </c>
    </row>
    <row r="20" spans="1:5" ht="30" x14ac:dyDescent="0.25">
      <c r="A20" s="163" t="s">
        <v>491</v>
      </c>
      <c r="B20" s="162" t="s">
        <v>492</v>
      </c>
      <c r="C20" s="164" t="s">
        <v>493</v>
      </c>
      <c r="D20" s="162" t="s">
        <v>494</v>
      </c>
      <c r="E20" s="172">
        <f>IFERROR('Portfolio Report'!E34/'Balance Sheet'!D42,0)</f>
        <v>0</v>
      </c>
    </row>
    <row r="21" spans="1:5" x14ac:dyDescent="0.25">
      <c r="A21" s="185"/>
      <c r="B21" s="186" t="s">
        <v>495</v>
      </c>
      <c r="C21" s="187"/>
      <c r="D21" s="188"/>
      <c r="E21" s="189"/>
    </row>
    <row r="22" spans="1:5" ht="30" x14ac:dyDescent="0.25">
      <c r="A22" s="163" t="s">
        <v>496</v>
      </c>
      <c r="B22" s="162" t="s">
        <v>497</v>
      </c>
      <c r="C22" s="164" t="s">
        <v>498</v>
      </c>
      <c r="D22" s="162" t="s">
        <v>499</v>
      </c>
      <c r="E22" s="268">
        <f>IFERROR('Profit &amp; Loss Statement'!D33/'Balance Sheet'!D47,0)</f>
        <v>0</v>
      </c>
    </row>
    <row r="23" spans="1:5" ht="30" x14ac:dyDescent="0.25">
      <c r="A23" s="163" t="s">
        <v>500</v>
      </c>
      <c r="B23" s="162" t="s">
        <v>501</v>
      </c>
      <c r="C23" s="165" t="s">
        <v>502</v>
      </c>
      <c r="D23" s="162" t="s">
        <v>503</v>
      </c>
      <c r="E23" s="268">
        <f>IFERROR('Profit &amp; Loss Statement'!D30/'Balance Sheet'!D47,0)</f>
        <v>0</v>
      </c>
    </row>
    <row r="24" spans="1:5" ht="30" x14ac:dyDescent="0.25">
      <c r="A24" s="163" t="s">
        <v>504</v>
      </c>
      <c r="B24" s="162" t="s">
        <v>505</v>
      </c>
      <c r="C24" s="164" t="s">
        <v>506</v>
      </c>
      <c r="D24" s="162" t="s">
        <v>507</v>
      </c>
      <c r="E24" s="268">
        <f>IFERROR(('Profit &amp; Loss Statement'!D31+'Profit &amp; Loss Statement'!D32)/'Balance Sheet'!D47,0)</f>
        <v>0</v>
      </c>
    </row>
    <row r="25" spans="1:5" ht="30" x14ac:dyDescent="0.25">
      <c r="A25" s="163" t="s">
        <v>508</v>
      </c>
      <c r="B25" s="162" t="s">
        <v>509</v>
      </c>
      <c r="C25" s="164" t="s">
        <v>510</v>
      </c>
      <c r="D25" s="162" t="s">
        <v>511</v>
      </c>
      <c r="E25" s="172">
        <f>IFERROR('Profit &amp; Loss Statement'!D33/'Profit &amp; Loss Statement'!D18,0)</f>
        <v>0</v>
      </c>
    </row>
    <row r="26" spans="1:5" ht="45" x14ac:dyDescent="0.25">
      <c r="A26" s="163" t="s">
        <v>512</v>
      </c>
      <c r="B26" s="162" t="s">
        <v>513</v>
      </c>
      <c r="C26" s="164" t="s">
        <v>514</v>
      </c>
      <c r="D26" s="162" t="s">
        <v>515</v>
      </c>
      <c r="E26" s="268">
        <f>IFERROR('Profit &amp; Loss Statement'!D33/'Balance Sheet'!D52,0)</f>
        <v>0</v>
      </c>
    </row>
    <row r="27" spans="1:5" x14ac:dyDescent="0.25">
      <c r="A27" s="185"/>
      <c r="B27" s="186" t="s">
        <v>516</v>
      </c>
      <c r="C27" s="187"/>
      <c r="D27" s="188"/>
      <c r="E27" s="189"/>
    </row>
    <row r="28" spans="1:5" ht="30" x14ac:dyDescent="0.25">
      <c r="A28" s="163" t="s">
        <v>517</v>
      </c>
      <c r="B28" s="162" t="s">
        <v>518</v>
      </c>
      <c r="C28" s="165" t="s">
        <v>519</v>
      </c>
      <c r="D28" s="162" t="s">
        <v>520</v>
      </c>
      <c r="E28" s="268">
        <f>IFERROR('Outreach &amp; Social Performance'!D18/'Outreach &amp; Social Performance'!D30,0)</f>
        <v>0</v>
      </c>
    </row>
    <row r="29" spans="1:5" ht="30" x14ac:dyDescent="0.25">
      <c r="A29" s="163" t="s">
        <v>521</v>
      </c>
      <c r="B29" s="162" t="s">
        <v>522</v>
      </c>
      <c r="C29" s="165" t="s">
        <v>523</v>
      </c>
      <c r="D29" s="162" t="s">
        <v>524</v>
      </c>
      <c r="E29" s="268">
        <f>IFERROR('Outreach &amp; Social Performance'!D18/'Outreach &amp; Social Performance'!D28,0)</f>
        <v>0</v>
      </c>
    </row>
    <row r="30" spans="1:5" ht="30" x14ac:dyDescent="0.25">
      <c r="A30" s="163" t="s">
        <v>525</v>
      </c>
      <c r="B30" s="162" t="s">
        <v>526</v>
      </c>
      <c r="C30" s="165" t="s">
        <v>527</v>
      </c>
      <c r="D30" s="162" t="s">
        <v>528</v>
      </c>
      <c r="E30" s="268">
        <f>IFERROR('Outreach &amp; Social Performance'!D30/'Outreach &amp; Social Performance'!D28,0)</f>
        <v>0</v>
      </c>
    </row>
    <row r="31" spans="1:5" x14ac:dyDescent="0.25">
      <c r="A31" s="190"/>
      <c r="B31" s="186" t="s">
        <v>529</v>
      </c>
      <c r="C31" s="187"/>
      <c r="D31" s="188"/>
      <c r="E31" s="189"/>
    </row>
    <row r="32" spans="1:5" x14ac:dyDescent="0.25">
      <c r="A32" s="163" t="s">
        <v>530</v>
      </c>
      <c r="B32" s="162" t="s">
        <v>531</v>
      </c>
      <c r="C32" s="167" t="s">
        <v>532</v>
      </c>
      <c r="D32" s="162" t="s">
        <v>533</v>
      </c>
      <c r="E32" s="172">
        <f>'Balance Sheet'!D16</f>
        <v>0</v>
      </c>
    </row>
    <row r="33" spans="1:5" ht="45" x14ac:dyDescent="0.25">
      <c r="A33" s="163" t="s">
        <v>534</v>
      </c>
      <c r="B33" s="162" t="s">
        <v>535</v>
      </c>
      <c r="C33" s="164" t="s">
        <v>536</v>
      </c>
      <c r="D33" s="162" t="s">
        <v>537</v>
      </c>
      <c r="E33" s="173">
        <f>'Portfolio Report'!E35</f>
        <v>0</v>
      </c>
    </row>
    <row r="34" spans="1:5" ht="30" x14ac:dyDescent="0.25">
      <c r="A34" s="163" t="s">
        <v>538</v>
      </c>
      <c r="B34" s="162" t="s">
        <v>539</v>
      </c>
      <c r="C34" s="165" t="s">
        <v>540</v>
      </c>
      <c r="D34" s="162" t="s">
        <v>541</v>
      </c>
      <c r="E34" s="268">
        <f>IFERROR('Portfolio Report'!E34/'Balance Sheet'!D42,0)</f>
        <v>0</v>
      </c>
    </row>
    <row r="35" spans="1:5" ht="30" x14ac:dyDescent="0.25">
      <c r="A35" s="163" t="s">
        <v>542</v>
      </c>
      <c r="B35" s="162" t="s">
        <v>543</v>
      </c>
      <c r="C35" s="165" t="s">
        <v>544</v>
      </c>
      <c r="D35" s="162" t="s">
        <v>545</v>
      </c>
      <c r="E35" s="268">
        <f>IFERROR('Portfolio Report'!E14/'Balance Sheet'!D16,0)</f>
        <v>0</v>
      </c>
    </row>
    <row r="36" spans="1:5" ht="45" x14ac:dyDescent="0.25">
      <c r="A36" s="163" t="s">
        <v>546</v>
      </c>
      <c r="B36" s="162" t="s">
        <v>547</v>
      </c>
      <c r="C36" s="164" t="s">
        <v>548</v>
      </c>
      <c r="D36" s="162" t="s">
        <v>549</v>
      </c>
      <c r="E36" s="268">
        <f>IFERROR('Profit &amp; Loss Statement'!D37/'Portfolio Report'!E34,0)</f>
        <v>0</v>
      </c>
    </row>
    <row r="37" spans="1:5" x14ac:dyDescent="0.25">
      <c r="A37" s="163" t="s">
        <v>550</v>
      </c>
      <c r="B37" s="162" t="s">
        <v>551</v>
      </c>
      <c r="C37" s="162"/>
      <c r="D37" s="162" t="s">
        <v>552</v>
      </c>
      <c r="E37" s="172">
        <f>'Portfolio Report'!E14</f>
        <v>0</v>
      </c>
    </row>
    <row r="38" spans="1:5" ht="30" x14ac:dyDescent="0.25">
      <c r="A38" s="163" t="s">
        <v>553</v>
      </c>
      <c r="B38" s="162" t="s">
        <v>554</v>
      </c>
      <c r="C38" s="162" t="s">
        <v>555</v>
      </c>
      <c r="D38" s="162" t="s">
        <v>556</v>
      </c>
      <c r="E38" s="268">
        <f>IFERROR('Profit &amp; Loss Statement'!D27/'Balance Sheet'!D47,0)</f>
        <v>0</v>
      </c>
    </row>
    <row r="39" spans="1:5" x14ac:dyDescent="0.25">
      <c r="A39" s="190"/>
      <c r="B39" s="186" t="s">
        <v>557</v>
      </c>
      <c r="C39" s="187"/>
      <c r="D39" s="188"/>
      <c r="E39" s="189"/>
    </row>
    <row r="40" spans="1:5" x14ac:dyDescent="0.25">
      <c r="A40" s="163" t="s">
        <v>558</v>
      </c>
      <c r="B40" s="162" t="s">
        <v>559</v>
      </c>
      <c r="C40" s="162"/>
      <c r="D40" s="162" t="s">
        <v>560</v>
      </c>
      <c r="E40" s="171">
        <f>'Outreach &amp; Social Performance'!D16</f>
        <v>0</v>
      </c>
    </row>
    <row r="41" spans="1:5" ht="30" x14ac:dyDescent="0.25">
      <c r="A41" s="168" t="s">
        <v>561</v>
      </c>
      <c r="B41" s="162" t="s">
        <v>562</v>
      </c>
      <c r="C41" s="162" t="s">
        <v>563</v>
      </c>
      <c r="D41" s="162" t="s">
        <v>564</v>
      </c>
      <c r="E41" s="174">
        <f>'Outreach &amp; Social Performance'!D18</f>
        <v>0</v>
      </c>
    </row>
    <row r="42" spans="1:5" ht="30" x14ac:dyDescent="0.25">
      <c r="A42" s="163" t="s">
        <v>565</v>
      </c>
      <c r="B42" s="162" t="s">
        <v>566</v>
      </c>
      <c r="C42" s="165" t="s">
        <v>567</v>
      </c>
      <c r="D42" s="162" t="s">
        <v>568</v>
      </c>
      <c r="E42" s="171">
        <f>IFERROR('Outreach &amp; Social Performance'!D19/'Outreach &amp; Social Performance'!D18,0)</f>
        <v>0</v>
      </c>
    </row>
    <row r="43" spans="1:5" ht="30" x14ac:dyDescent="0.25">
      <c r="A43" s="163" t="s">
        <v>569</v>
      </c>
      <c r="B43" s="162" t="s">
        <v>570</v>
      </c>
      <c r="C43" s="165" t="s">
        <v>571</v>
      </c>
      <c r="D43" s="162" t="s">
        <v>572</v>
      </c>
      <c r="E43" s="171">
        <f>IFERROR('Balance Sheet'!D16/'Portfolio Report'!D13,0)</f>
        <v>0</v>
      </c>
    </row>
    <row r="44" spans="1:5" ht="30" x14ac:dyDescent="0.25">
      <c r="A44" s="163" t="s">
        <v>573</v>
      </c>
      <c r="B44" s="162" t="s">
        <v>574</v>
      </c>
      <c r="C44" s="162" t="s">
        <v>575</v>
      </c>
      <c r="D44" s="162" t="s">
        <v>576</v>
      </c>
      <c r="E44" s="173">
        <f>IFERROR('Portfolio Report'!E38/'Balance Sheet'!D16,0)</f>
        <v>0</v>
      </c>
    </row>
    <row r="45" spans="1:5" ht="30" x14ac:dyDescent="0.25">
      <c r="A45" s="163" t="s">
        <v>577</v>
      </c>
      <c r="B45" s="162" t="s">
        <v>578</v>
      </c>
      <c r="C45" s="162" t="s">
        <v>579</v>
      </c>
      <c r="D45" s="162" t="s">
        <v>580</v>
      </c>
      <c r="E45" s="173">
        <f>IFERROR('Outreach &amp; Social Performance'!D43/'Balance Sheet'!D16,0)</f>
        <v>0</v>
      </c>
    </row>
    <row r="46" spans="1:5" x14ac:dyDescent="0.25">
      <c r="A46" s="163" t="s">
        <v>581</v>
      </c>
      <c r="B46" s="162" t="s">
        <v>582</v>
      </c>
      <c r="C46" s="162" t="s">
        <v>583</v>
      </c>
      <c r="D46" s="162" t="s">
        <v>584</v>
      </c>
      <c r="E46" s="171">
        <f>'Outreach &amp; Social Performance'!D42</f>
        <v>0</v>
      </c>
    </row>
    <row r="47" spans="1:5" x14ac:dyDescent="0.25">
      <c r="A47" s="185"/>
      <c r="B47" s="186" t="s">
        <v>585</v>
      </c>
      <c r="C47" s="187"/>
      <c r="D47" s="188"/>
      <c r="E47" s="189"/>
    </row>
    <row r="48" spans="1:5" x14ac:dyDescent="0.25">
      <c r="A48" s="163" t="s">
        <v>586</v>
      </c>
      <c r="B48" s="162" t="s">
        <v>315</v>
      </c>
      <c r="C48" s="162" t="s">
        <v>670</v>
      </c>
      <c r="D48" s="162" t="s">
        <v>587</v>
      </c>
      <c r="E48" s="171">
        <f>'Outreach &amp; Social Performance'!D12</f>
        <v>0</v>
      </c>
    </row>
    <row r="49" spans="1:5" x14ac:dyDescent="0.25">
      <c r="A49" s="163" t="s">
        <v>588</v>
      </c>
      <c r="B49" s="162" t="s">
        <v>317</v>
      </c>
      <c r="C49" s="162" t="s">
        <v>671</v>
      </c>
      <c r="D49" s="162" t="s">
        <v>589</v>
      </c>
      <c r="E49" s="171">
        <f>'Outreach &amp; Social Performance'!D13</f>
        <v>0</v>
      </c>
    </row>
    <row r="50" spans="1:5" x14ac:dyDescent="0.25">
      <c r="A50" s="163" t="s">
        <v>590</v>
      </c>
      <c r="B50" s="162" t="s">
        <v>319</v>
      </c>
      <c r="C50" s="162" t="s">
        <v>672</v>
      </c>
      <c r="D50" s="162" t="s">
        <v>591</v>
      </c>
      <c r="E50" s="171">
        <f>'Outreach &amp; Social Performance'!D14</f>
        <v>0</v>
      </c>
    </row>
    <row r="51" spans="1:5" x14ac:dyDescent="0.25">
      <c r="A51" s="163" t="s">
        <v>592</v>
      </c>
      <c r="B51" s="162" t="s">
        <v>321</v>
      </c>
      <c r="C51" s="162" t="s">
        <v>673</v>
      </c>
      <c r="D51" s="162" t="s">
        <v>593</v>
      </c>
      <c r="E51" s="171">
        <f>'Outreach &amp; Social Performance'!D15</f>
        <v>0</v>
      </c>
    </row>
    <row r="52" spans="1:5" x14ac:dyDescent="0.25">
      <c r="A52" s="163" t="s">
        <v>594</v>
      </c>
      <c r="B52" s="162" t="s">
        <v>595</v>
      </c>
      <c r="C52" s="162" t="s">
        <v>674</v>
      </c>
      <c r="D52" s="162" t="s">
        <v>560</v>
      </c>
      <c r="E52" s="171">
        <f>'Outreach &amp; Social Performance'!D16</f>
        <v>0</v>
      </c>
    </row>
    <row r="53" spans="1:5" x14ac:dyDescent="0.25">
      <c r="A53" s="163" t="s">
        <v>596</v>
      </c>
      <c r="B53" s="162" t="s">
        <v>597</v>
      </c>
      <c r="C53" s="162" t="s">
        <v>675</v>
      </c>
      <c r="D53" s="162" t="s">
        <v>598</v>
      </c>
      <c r="E53" s="171">
        <f>'Outreach &amp; Social Performance'!D17</f>
        <v>0</v>
      </c>
    </row>
    <row r="54" spans="1:5" ht="60" x14ac:dyDescent="0.25">
      <c r="A54" s="163" t="s">
        <v>599</v>
      </c>
      <c r="B54" s="162" t="s">
        <v>329</v>
      </c>
      <c r="C54" s="162" t="s">
        <v>600</v>
      </c>
      <c r="D54" s="162" t="s">
        <v>564</v>
      </c>
      <c r="E54" s="171">
        <f>'Outreach &amp; Social Performance'!D18</f>
        <v>0</v>
      </c>
    </row>
    <row r="55" spans="1:5" ht="60" x14ac:dyDescent="0.25">
      <c r="A55" s="163" t="s">
        <v>601</v>
      </c>
      <c r="B55" s="162" t="s">
        <v>332</v>
      </c>
      <c r="C55" s="162" t="s">
        <v>602</v>
      </c>
      <c r="D55" s="162" t="s">
        <v>603</v>
      </c>
      <c r="E55" s="171">
        <f>'Outreach &amp; Social Performance'!D19</f>
        <v>0</v>
      </c>
    </row>
    <row r="56" spans="1:5" x14ac:dyDescent="0.25">
      <c r="A56" s="163" t="s">
        <v>604</v>
      </c>
      <c r="B56" s="162" t="s">
        <v>605</v>
      </c>
      <c r="C56" s="162"/>
      <c r="D56" s="162" t="s">
        <v>606</v>
      </c>
      <c r="E56" s="172">
        <f>'Balance Sheet'!D26</f>
        <v>0</v>
      </c>
    </row>
    <row r="57" spans="1:5" ht="30" x14ac:dyDescent="0.25">
      <c r="A57" s="163" t="s">
        <v>607</v>
      </c>
      <c r="B57" s="162" t="s">
        <v>375</v>
      </c>
      <c r="C57" s="162"/>
      <c r="D57" s="162" t="s">
        <v>608</v>
      </c>
      <c r="E57" s="171">
        <f>'Outreach &amp; Social Performance'!D41</f>
        <v>0</v>
      </c>
    </row>
    <row r="58" spans="1:5" x14ac:dyDescent="0.25">
      <c r="A58" s="163" t="s">
        <v>609</v>
      </c>
      <c r="B58" s="162" t="s">
        <v>610</v>
      </c>
      <c r="C58" s="162"/>
      <c r="D58" s="162" t="s">
        <v>611</v>
      </c>
      <c r="E58" s="171">
        <f>'Outreach &amp; Social Performance'!D40</f>
        <v>0</v>
      </c>
    </row>
    <row r="59" spans="1:5" x14ac:dyDescent="0.25">
      <c r="A59" s="185"/>
      <c r="B59" s="186" t="s">
        <v>669</v>
      </c>
      <c r="C59" s="187"/>
      <c r="D59" s="188"/>
      <c r="E59" s="189"/>
    </row>
    <row r="60" spans="1:5" x14ac:dyDescent="0.25">
      <c r="A60" s="163" t="s">
        <v>612</v>
      </c>
      <c r="B60" s="162" t="s">
        <v>613</v>
      </c>
      <c r="C60" s="162" t="s">
        <v>614</v>
      </c>
      <c r="D60" s="162" t="s">
        <v>615</v>
      </c>
      <c r="E60" s="171">
        <f>'Outreach &amp; Social Performance'!D28</f>
        <v>0</v>
      </c>
    </row>
    <row r="61" spans="1:5" x14ac:dyDescent="0.25">
      <c r="A61" s="163" t="s">
        <v>616</v>
      </c>
      <c r="B61" s="162" t="s">
        <v>357</v>
      </c>
      <c r="C61" s="162"/>
      <c r="D61" s="162" t="s">
        <v>617</v>
      </c>
      <c r="E61" s="171">
        <f>'Outreach &amp; Social Performance'!D30</f>
        <v>0</v>
      </c>
    </row>
    <row r="62" spans="1:5" x14ac:dyDescent="0.25">
      <c r="A62" s="163" t="s">
        <v>618</v>
      </c>
      <c r="B62" s="162" t="s">
        <v>359</v>
      </c>
      <c r="C62" s="162"/>
      <c r="D62" s="162" t="s">
        <v>619</v>
      </c>
      <c r="E62" s="171">
        <f>'Outreach &amp; Social Performance'!D31</f>
        <v>0</v>
      </c>
    </row>
    <row r="63" spans="1:5" x14ac:dyDescent="0.25">
      <c r="A63" s="163" t="s">
        <v>620</v>
      </c>
      <c r="B63" s="162" t="s">
        <v>361</v>
      </c>
      <c r="C63" s="162"/>
      <c r="D63" s="162" t="s">
        <v>621</v>
      </c>
      <c r="E63" s="171">
        <f>'Outreach &amp; Social Performance'!D32</f>
        <v>0</v>
      </c>
    </row>
    <row r="64" spans="1:5" x14ac:dyDescent="0.25">
      <c r="A64" s="163" t="s">
        <v>622</v>
      </c>
      <c r="B64" s="162" t="s">
        <v>363</v>
      </c>
      <c r="C64" s="162"/>
      <c r="D64" s="162" t="s">
        <v>623</v>
      </c>
      <c r="E64" s="171">
        <f>'Outreach &amp; Social Performance'!D34</f>
        <v>0</v>
      </c>
    </row>
    <row r="65" spans="1:5" x14ac:dyDescent="0.25">
      <c r="A65" s="163" t="s">
        <v>624</v>
      </c>
      <c r="B65" s="162" t="s">
        <v>365</v>
      </c>
      <c r="C65" s="162"/>
      <c r="D65" s="162" t="s">
        <v>625</v>
      </c>
      <c r="E65" s="171">
        <f>'Outreach &amp; Social Performance'!D35</f>
        <v>0</v>
      </c>
    </row>
    <row r="66" spans="1:5" ht="30" x14ac:dyDescent="0.25">
      <c r="A66" s="163" t="s">
        <v>626</v>
      </c>
      <c r="B66" s="162" t="s">
        <v>367</v>
      </c>
      <c r="C66" s="162"/>
      <c r="D66" s="162" t="s">
        <v>627</v>
      </c>
      <c r="E66" s="171">
        <f>'Outreach &amp; Social Performance'!D36</f>
        <v>0</v>
      </c>
    </row>
    <row r="67" spans="1:5" x14ac:dyDescent="0.25">
      <c r="A67" s="163" t="s">
        <v>628</v>
      </c>
      <c r="B67" s="162" t="s">
        <v>369</v>
      </c>
      <c r="C67" s="162"/>
      <c r="D67" s="162" t="s">
        <v>629</v>
      </c>
      <c r="E67" s="171">
        <f>'Outreach &amp; Social Performance'!D37</f>
        <v>0</v>
      </c>
    </row>
    <row r="68" spans="1:5" ht="15.75" thickBot="1" x14ac:dyDescent="0.3">
      <c r="A68" s="169" t="s">
        <v>630</v>
      </c>
      <c r="B68" s="170" t="s">
        <v>371</v>
      </c>
      <c r="C68" s="170"/>
      <c r="D68" s="170" t="s">
        <v>631</v>
      </c>
      <c r="E68" s="175">
        <f>'Outreach &amp; Social Performance'!D38</f>
        <v>0</v>
      </c>
    </row>
  </sheetData>
  <sheetProtection algorithmName="SHA-512" hashValue="QjhyntPijEDXUxJVYfES6GaWK6mqVuoRWu+SbLJ6hWPaR/LLgYEigYpG6zEC+dhHlwQNOGIHpto1Q+0qN+WSpQ==" saltValue="pWolcwvnp1L5LcgRla8EVw==" spinCount="100000" sheet="1" objects="1" scenarios="1" select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Notes_Old</vt:lpstr>
      <vt:lpstr>Errors Summary Sheet</vt:lpstr>
      <vt:lpstr>Cover Sheet</vt:lpstr>
      <vt:lpstr>Profit &amp; Loss Statement</vt:lpstr>
      <vt:lpstr>Balance Sheet</vt:lpstr>
      <vt:lpstr>Portfolio Report</vt:lpstr>
      <vt:lpstr>Outreach &amp; Social Performance</vt:lpstr>
      <vt:lpstr>Regional Breakdown </vt:lpstr>
      <vt:lpstr>Ratios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Agyeman Owusu</dc:creator>
  <cp:lastModifiedBy>Edward Kavi</cp:lastModifiedBy>
  <dcterms:created xsi:type="dcterms:W3CDTF">2022-07-11T11:34:56Z</dcterms:created>
  <dcterms:modified xsi:type="dcterms:W3CDTF">2022-12-31T15:08:56Z</dcterms:modified>
</cp:coreProperties>
</file>